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r.Z\Desktop\"/>
    </mc:Choice>
  </mc:AlternateContent>
  <xr:revisionPtr revIDLastSave="0" documentId="13_ncr:1_{7A3D3444-EBB6-4B9B-A5DB-26B826D862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" i="1"/>
  <c r="H23" i="1"/>
  <c r="H19" i="1" l="1"/>
  <c r="H20" i="1"/>
  <c r="H21" i="1"/>
  <c r="H22" i="1"/>
  <c r="H18" i="1"/>
  <c r="H17" i="1"/>
  <c r="H16" i="1"/>
  <c r="H15" i="1"/>
  <c r="H14" i="1"/>
  <c r="D13" i="1"/>
  <c r="H13" i="1" s="1"/>
  <c r="H12" i="1"/>
  <c r="H11" i="1"/>
  <c r="D11" i="1"/>
  <c r="H10" i="1"/>
  <c r="D9" i="1"/>
  <c r="H9" i="1" s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<sst xmlns="http://schemas.openxmlformats.org/spreadsheetml/2006/main" count="107" uniqueCount="64">
  <si>
    <t>序号</t>
  </si>
  <si>
    <t>名称</t>
  </si>
  <si>
    <t>主要参数</t>
  </si>
  <si>
    <t>单位</t>
  </si>
  <si>
    <t>单价</t>
  </si>
  <si>
    <t>总价</t>
  </si>
  <si>
    <t>厂家</t>
  </si>
  <si>
    <t>MCC柜配件柜</t>
    <phoneticPr fontId="1" type="noConversion"/>
  </si>
  <si>
    <t>套</t>
  </si>
  <si>
    <t>科力通</t>
  </si>
  <si>
    <t>终端</t>
  </si>
  <si>
    <t>台</t>
  </si>
  <si>
    <t>联想/研华/惠普</t>
  </si>
  <si>
    <t>电讯电话</t>
  </si>
  <si>
    <t>TCL/润普科技</t>
  </si>
  <si>
    <t>操作台</t>
  </si>
  <si>
    <t>桌椅</t>
  </si>
  <si>
    <t>投影仪</t>
  </si>
  <si>
    <t>个</t>
  </si>
  <si>
    <t>爱普生、索尼、明基、坚果</t>
  </si>
  <si>
    <t>另含终端3台，配置酷睿i5-14400 4.7G 32G内存丨512G固态+1T;四千兆网口;显卡:RTX3060显存12G.含win10及以上操作系统、键盘、鼠标及27寸显示器</t>
  </si>
  <si>
    <t>工业数据采集软件</t>
  </si>
  <si>
    <t>KEPServerEX （含官方授权）</t>
  </si>
  <si>
    <t>西门子</t>
  </si>
  <si>
    <t>超声波传感器</t>
  </si>
  <si>
    <t>超声波传感器UM30-213118测距，含防护设备、安装支架/TU-N160A+OW-20001</t>
  </si>
  <si>
    <t>西克/天津深浦</t>
  </si>
  <si>
    <t>分布式IO远程站</t>
  </si>
  <si>
    <t>1734-aent*1 +1734-ie8c*1+信号隔离器5*+稳压电源*1</t>
  </si>
  <si>
    <t>罗克韦尔</t>
  </si>
  <si>
    <t>PLC</t>
  </si>
  <si>
    <t>1756-L71*1+  1756-A7*1 +  1756-PA75*1  +1756-EN2T*1</t>
  </si>
  <si>
    <t>工业互联网平台控制终端</t>
  </si>
  <si>
    <t>华为/戴尔/联想</t>
  </si>
  <si>
    <t>光电转换器</t>
  </si>
  <si>
    <t>对</t>
  </si>
  <si>
    <t>光纤盒</t>
  </si>
  <si>
    <t>8口/SC/尾纤/耦合器满配</t>
  </si>
  <si>
    <t>光跳线</t>
  </si>
  <si>
    <t>条</t>
  </si>
  <si>
    <t>控制箱</t>
  </si>
  <si>
    <t>配电</t>
    <phoneticPr fontId="1" type="noConversion"/>
  </si>
  <si>
    <t>调度</t>
    <phoneticPr fontId="1" type="noConversion"/>
  </si>
  <si>
    <t>运维室</t>
    <phoneticPr fontId="1" type="noConversion"/>
  </si>
  <si>
    <t>分析室</t>
    <phoneticPr fontId="1" type="noConversion"/>
  </si>
  <si>
    <t>数采</t>
    <phoneticPr fontId="1" type="noConversion"/>
  </si>
  <si>
    <t>分析室</t>
    <phoneticPr fontId="1" type="noConversion"/>
  </si>
  <si>
    <t>物料跟踪</t>
    <phoneticPr fontId="1" type="noConversion"/>
  </si>
  <si>
    <r>
      <t>工业用</t>
    </r>
    <r>
      <rPr>
        <sz val="10"/>
        <rFont val="Geneva"/>
        <family val="1"/>
      </rPr>
      <t xml:space="preserve"> </t>
    </r>
    <r>
      <rPr>
        <sz val="10"/>
        <rFont val="宋体"/>
        <family val="3"/>
        <charset val="134"/>
      </rPr>
      <t xml:space="preserve">一光四电 </t>
    </r>
    <r>
      <rPr>
        <sz val="10"/>
        <rFont val="Geneva"/>
        <family val="1"/>
      </rPr>
      <t xml:space="preserve"> sc</t>
    </r>
    <r>
      <rPr>
        <sz val="10"/>
        <rFont val="宋体"/>
        <family val="3"/>
        <charset val="134"/>
      </rPr>
      <t>接口</t>
    </r>
    <r>
      <rPr>
        <sz val="10"/>
        <rFont val="Geneva"/>
        <family val="1"/>
      </rPr>
      <t xml:space="preserve">  </t>
    </r>
    <r>
      <rPr>
        <sz val="10"/>
        <rFont val="宋体"/>
        <family val="3"/>
        <charset val="134"/>
      </rPr>
      <t>千兆单模单纤</t>
    </r>
  </si>
  <si>
    <r>
      <t>sc-sc 3</t>
    </r>
    <r>
      <rPr>
        <sz val="10"/>
        <rFont val="宋体"/>
        <family val="3"/>
        <charset val="134"/>
      </rPr>
      <t>米</t>
    </r>
    <r>
      <rPr>
        <sz val="10"/>
        <rFont val="Geneva"/>
        <family val="1"/>
      </rPr>
      <t xml:space="preserve"> </t>
    </r>
    <r>
      <rPr>
        <sz val="10"/>
        <rFont val="宋体"/>
        <family val="3"/>
        <charset val="134"/>
      </rPr>
      <t>单模</t>
    </r>
  </si>
  <si>
    <r>
      <t>400*400*300</t>
    </r>
    <r>
      <rPr>
        <sz val="10"/>
        <rFont val="宋体"/>
        <family val="3"/>
        <charset val="134"/>
      </rPr>
      <t>（深）室外</t>
    </r>
    <r>
      <rPr>
        <sz val="10"/>
        <rFont val="Geneva"/>
        <family val="1"/>
      </rPr>
      <t xml:space="preserve"> </t>
    </r>
    <r>
      <rPr>
        <sz val="10"/>
        <rFont val="宋体"/>
        <family val="3"/>
        <charset val="134"/>
      </rPr>
      <t>不锈钢防尘箱</t>
    </r>
    <r>
      <rPr>
        <sz val="10"/>
        <rFont val="Geneva"/>
        <family val="1"/>
      </rPr>
      <t xml:space="preserve">
</t>
    </r>
    <r>
      <rPr>
        <sz val="10"/>
        <rFont val="宋体"/>
        <family val="3"/>
        <charset val="134"/>
      </rPr>
      <t>内含：断路器2p 10a  *2</t>
    </r>
    <r>
      <rPr>
        <sz val="10"/>
        <rFont val="Geneva"/>
        <family val="1"/>
      </rPr>
      <t xml:space="preserve">
</t>
    </r>
    <r>
      <rPr>
        <sz val="10"/>
        <rFont val="宋体"/>
        <family val="3"/>
        <charset val="134"/>
      </rPr>
      <t>插板</t>
    </r>
    <r>
      <rPr>
        <sz val="10"/>
        <rFont val="Geneva"/>
        <family val="1"/>
      </rPr>
      <t xml:space="preserve">  6</t>
    </r>
    <r>
      <rPr>
        <sz val="10"/>
        <rFont val="宋体"/>
        <family val="3"/>
        <charset val="134"/>
      </rPr>
      <t>孔位</t>
    </r>
    <r>
      <rPr>
        <sz val="10"/>
        <rFont val="Geneva"/>
        <family val="1"/>
      </rPr>
      <t xml:space="preserve">       *1</t>
    </r>
  </si>
  <si>
    <r>
      <t>500</t>
    </r>
    <r>
      <rPr>
        <sz val="10"/>
        <rFont val="宋体"/>
        <family val="3"/>
        <charset val="134"/>
      </rPr>
      <t>（宽）</t>
    </r>
    <r>
      <rPr>
        <sz val="10"/>
        <rFont val="Geneva"/>
        <family val="1"/>
      </rPr>
      <t>*600</t>
    </r>
    <r>
      <rPr>
        <sz val="10"/>
        <rFont val="宋体"/>
        <family val="3"/>
        <charset val="134"/>
      </rPr>
      <t>（高）</t>
    </r>
    <r>
      <rPr>
        <sz val="10"/>
        <rFont val="Geneva"/>
        <family val="1"/>
      </rPr>
      <t>*300</t>
    </r>
    <r>
      <rPr>
        <sz val="10"/>
        <rFont val="宋体"/>
        <family val="3"/>
        <charset val="134"/>
      </rPr>
      <t>（深）室外</t>
    </r>
    <r>
      <rPr>
        <sz val="10"/>
        <rFont val="Geneva"/>
        <family val="1"/>
      </rPr>
      <t xml:space="preserve"> </t>
    </r>
    <r>
      <rPr>
        <sz val="10"/>
        <rFont val="宋体"/>
        <family val="3"/>
        <charset val="134"/>
      </rPr>
      <t>不锈钢防尘箱</t>
    </r>
    <r>
      <rPr>
        <sz val="10"/>
        <rFont val="Geneva"/>
        <family val="1"/>
      </rPr>
      <t xml:space="preserve">
</t>
    </r>
    <r>
      <rPr>
        <sz val="10"/>
        <rFont val="宋体"/>
        <family val="3"/>
        <charset val="134"/>
      </rPr>
      <t>内含：背板</t>
    </r>
    <r>
      <rPr>
        <sz val="10"/>
        <rFont val="Geneva"/>
        <family val="1"/>
      </rPr>
      <t xml:space="preserve">  *1
</t>
    </r>
    <r>
      <rPr>
        <sz val="10"/>
        <rFont val="宋体"/>
        <family val="3"/>
        <charset val="134"/>
      </rPr>
      <t>托盘</t>
    </r>
    <r>
      <rPr>
        <sz val="10"/>
        <rFont val="Geneva"/>
        <family val="1"/>
      </rPr>
      <t xml:space="preserve">*1
</t>
    </r>
    <r>
      <rPr>
        <sz val="10"/>
        <rFont val="宋体"/>
        <family val="3"/>
        <charset val="134"/>
      </rPr>
      <t>断路器</t>
    </r>
    <r>
      <rPr>
        <sz val="10"/>
        <rFont val="Geneva"/>
        <family val="1"/>
      </rPr>
      <t xml:space="preserve">2p 10a      *4
</t>
    </r>
    <r>
      <rPr>
        <sz val="10"/>
        <rFont val="宋体"/>
        <family val="3"/>
        <charset val="134"/>
      </rPr>
      <t>断路器</t>
    </r>
    <r>
      <rPr>
        <sz val="10"/>
        <rFont val="Geneva"/>
        <family val="1"/>
      </rPr>
      <t xml:space="preserve">2p  6a     *1
</t>
    </r>
    <r>
      <rPr>
        <sz val="10"/>
        <rFont val="宋体"/>
        <family val="3"/>
        <charset val="134"/>
      </rPr>
      <t>断路器</t>
    </r>
    <r>
      <rPr>
        <sz val="10"/>
        <rFont val="Geneva"/>
        <family val="1"/>
      </rPr>
      <t xml:space="preserve">  2p 4a     *4
</t>
    </r>
    <r>
      <rPr>
        <sz val="10"/>
        <rFont val="宋体"/>
        <family val="3"/>
        <charset val="134"/>
      </rPr>
      <t>端子</t>
    </r>
    <r>
      <rPr>
        <sz val="10"/>
        <rFont val="Geneva"/>
        <family val="1"/>
      </rPr>
      <t xml:space="preserve">    *30</t>
    </r>
  </si>
  <si>
    <t>供货</t>
    <phoneticPr fontId="1" type="noConversion"/>
  </si>
  <si>
    <t>数量</t>
    <phoneticPr fontId="1" type="noConversion"/>
  </si>
  <si>
    <t>数采</t>
    <phoneticPr fontId="1" type="noConversion"/>
  </si>
  <si>
    <t>供货总价</t>
    <phoneticPr fontId="1" type="noConversion"/>
  </si>
  <si>
    <t>MCC配电柜，500A断路器配置</t>
    <phoneticPr fontId="1" type="noConversion"/>
  </si>
  <si>
    <t>FH21：3000*450*400</t>
  </si>
  <si>
    <t>JXF13：800*800*750含办公椅</t>
  </si>
  <si>
    <t>战X（14.2英寸柔性OLED原色屏（3120×2080分辨率，120Hz刷新率，1000nits峰值亮度），英特尔酷睿Ultra 7/9处理器，32GB内存与1TB/2TB高速SSD，采用英特尔锐炫核芯显卡，支持140W超级快充、Thunderbolt 4接口及6扬声器+4麦克风音频系统。），含数采软件</t>
  </si>
  <si>
    <t>288G9 E PCI台式机电脑 i5-14500/32G/512GSSD+1T机械/4口千兆网卡/Win11专业版简包/ 27寸显示器+键鼠套装，含数采软件</t>
  </si>
  <si>
    <t>HCD868</t>
  </si>
  <si>
    <t>FH06   3500流明1080Ｐ</t>
  </si>
  <si>
    <t>288G9 E PCI台式机电脑 i5-14500/32G/512GSSD+1T机械/4口千兆网卡/Win11专业版简包/ 27寸显示器+键鼠套装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</si>
</sst>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1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11"/>
      <name val="等线"/>
      <family val="3"/>
      <charset val="134"/>
      <scheme val="minor"/>
    </font>
    <font>
      <sz val="10"/>
      <name val="Geneva"/>
      <family val="1"/>
    </font>
    <font>
      <sz val="10"/>
      <name val="Arial"/>
      <family val="2"/>
    </font>
    <font>
      <sz val="11"/>
      <name val="等线"/>
      <family val="2"/>
      <scheme val="minor"/>
    </font>
    <font>
      <b/>
      <sz val="9"/>
      <name val="宋体"/>
      <family val="3"/>
      <charset val="134"/>
    </font>
    <font>
      <b/>
      <sz val="9"/>
      <name val="Geneva"/>
      <family val="1"/>
    </font>
    <font>
      <b/>
      <sz val="9"/>
      <name val="等线"/>
      <family val="2"/>
      <scheme val="minor"/>
    </font>
    <font>
      <b/>
      <sz val="9"/>
      <color theme="1"/>
      <name val="宋体"/>
      <family val="3"/>
      <charset val="134"/>
    </font>
    <font>
      <b/>
      <sz val="10"/>
      <name val="Geneva"/>
      <family val="1"/>
    </font>
    <font>
      <b/>
      <sz val="1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4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5" fillId="0" borderId="5" xfId="1" applyNumberFormat="1" applyFont="1" applyBorder="1" applyAlignment="1">
      <alignment horizontal="center" vertical="center" wrapText="1" shrinkToFit="1"/>
    </xf>
    <xf numFmtId="176" fontId="5" fillId="0" borderId="4" xfId="1" applyNumberFormat="1" applyFont="1" applyBorder="1" applyAlignment="1">
      <alignment horizontal="center" vertical="center" wrapText="1" shrinkToFit="1"/>
    </xf>
    <xf numFmtId="0" fontId="6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9" fillId="4" borderId="5" xfId="0" applyFont="1" applyFill="1" applyBorder="1"/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0" borderId="0" xfId="0" applyFont="1"/>
    <xf numFmtId="0" fontId="6" fillId="2" borderId="4" xfId="0" applyFont="1" applyFill="1" applyBorder="1" applyAlignment="1">
      <alignment horizontal="center" vertical="center"/>
    </xf>
    <xf numFmtId="0" fontId="10" fillId="4" borderId="0" xfId="0" applyFont="1" applyFill="1"/>
    <xf numFmtId="0" fontId="11" fillId="2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3" fillId="5" borderId="5" xfId="0" applyFont="1" applyFill="1" applyBorder="1"/>
    <xf numFmtId="0" fontId="13" fillId="5" borderId="5" xfId="0" applyFont="1" applyFill="1" applyBorder="1" applyAlignment="1">
      <alignment vertical="center"/>
    </xf>
    <xf numFmtId="0" fontId="13" fillId="0" borderId="0" xfId="0" applyFont="1"/>
    <xf numFmtId="0" fontId="13" fillId="4" borderId="0" xfId="0" applyFont="1" applyFill="1"/>
    <xf numFmtId="0" fontId="11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0" xfId="0" applyFont="1"/>
    <xf numFmtId="0" fontId="11" fillId="3" borderId="5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3A19A992-DD84-4B37-9961-106A00685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C8" sqref="C8"/>
    </sheetView>
  </sheetViews>
  <sheetFormatPr defaultColWidth="9" defaultRowHeight="14"/>
  <cols>
    <col min="1" max="1" width="9" style="21"/>
    <col min="2" max="2" width="9" style="7"/>
    <col min="3" max="3" width="44.4140625" style="23" customWidth="1"/>
    <col min="4" max="4" width="9" style="37"/>
    <col min="5" max="5" width="9" style="38"/>
    <col min="6" max="6" width="9" style="21"/>
    <col min="7" max="9" width="9" style="43"/>
    <col min="10" max="16384" width="9" style="21"/>
  </cols>
  <sheetData>
    <row r="1" spans="1:10">
      <c r="A1" s="17" t="s">
        <v>0</v>
      </c>
      <c r="B1" s="1" t="s">
        <v>1</v>
      </c>
      <c r="C1" s="18" t="s">
        <v>2</v>
      </c>
      <c r="D1" s="24" t="s">
        <v>53</v>
      </c>
      <c r="E1" s="25" t="s">
        <v>52</v>
      </c>
      <c r="F1" s="19" t="s">
        <v>3</v>
      </c>
      <c r="G1" s="20" t="s">
        <v>4</v>
      </c>
      <c r="H1" s="20" t="s">
        <v>5</v>
      </c>
      <c r="I1" s="20" t="s">
        <v>55</v>
      </c>
      <c r="J1" s="20" t="s">
        <v>6</v>
      </c>
    </row>
    <row r="2" spans="1:10" ht="26">
      <c r="A2" s="2" t="s">
        <v>41</v>
      </c>
      <c r="B2" s="2" t="s">
        <v>7</v>
      </c>
      <c r="C2" s="6" t="s">
        <v>56</v>
      </c>
      <c r="D2" s="26">
        <v>2</v>
      </c>
      <c r="E2" s="27">
        <v>2</v>
      </c>
      <c r="F2" s="5" t="s">
        <v>8</v>
      </c>
      <c r="G2" s="33">
        <v>35000</v>
      </c>
      <c r="H2" s="33">
        <f>D2*G2</f>
        <v>70000</v>
      </c>
      <c r="I2" s="33">
        <f>E2*G2</f>
        <v>70000</v>
      </c>
      <c r="J2" s="6" t="s">
        <v>9</v>
      </c>
    </row>
    <row r="3" spans="1:10" ht="26">
      <c r="A3" s="8" t="s">
        <v>42</v>
      </c>
      <c r="B3" s="8" t="s">
        <v>10</v>
      </c>
      <c r="C3" s="6" t="s">
        <v>63</v>
      </c>
      <c r="D3" s="28">
        <v>3</v>
      </c>
      <c r="E3" s="29">
        <v>3</v>
      </c>
      <c r="F3" s="22" t="s">
        <v>11</v>
      </c>
      <c r="G3" s="28">
        <v>5165</v>
      </c>
      <c r="H3" s="39">
        <f t="shared" ref="H3:H17" si="0">D3*G3</f>
        <v>15495</v>
      </c>
      <c r="I3" s="33">
        <f t="shared" ref="I3:I22" si="1">E3*G3</f>
        <v>15495</v>
      </c>
      <c r="J3" s="4" t="s">
        <v>12</v>
      </c>
    </row>
    <row r="4" spans="1:10" ht="26">
      <c r="A4" s="2" t="s">
        <v>42</v>
      </c>
      <c r="B4" s="2" t="s">
        <v>13</v>
      </c>
      <c r="C4" s="6" t="s">
        <v>61</v>
      </c>
      <c r="D4" s="28">
        <v>1</v>
      </c>
      <c r="E4" s="29">
        <v>1</v>
      </c>
      <c r="F4" s="22" t="s">
        <v>8</v>
      </c>
      <c r="G4" s="28">
        <v>300</v>
      </c>
      <c r="H4" s="39">
        <f t="shared" si="0"/>
        <v>300</v>
      </c>
      <c r="I4" s="33">
        <f t="shared" si="1"/>
        <v>300</v>
      </c>
      <c r="J4" s="4" t="s">
        <v>14</v>
      </c>
    </row>
    <row r="5" spans="1:10">
      <c r="A5" s="2" t="s">
        <v>42</v>
      </c>
      <c r="B5" s="2" t="s">
        <v>15</v>
      </c>
      <c r="C5" s="6" t="s">
        <v>58</v>
      </c>
      <c r="D5" s="26">
        <v>3</v>
      </c>
      <c r="E5" s="27">
        <v>3</v>
      </c>
      <c r="F5" s="5" t="s">
        <v>11</v>
      </c>
      <c r="G5" s="26">
        <v>2450</v>
      </c>
      <c r="H5" s="39">
        <f t="shared" si="0"/>
        <v>7350</v>
      </c>
      <c r="I5" s="33">
        <f t="shared" si="1"/>
        <v>7350</v>
      </c>
      <c r="J5" s="3"/>
    </row>
    <row r="6" spans="1:10">
      <c r="A6" s="2" t="s">
        <v>43</v>
      </c>
      <c r="B6" s="2" t="s">
        <v>16</v>
      </c>
      <c r="C6" s="6" t="s">
        <v>57</v>
      </c>
      <c r="D6" s="26">
        <v>1</v>
      </c>
      <c r="E6" s="27">
        <v>1</v>
      </c>
      <c r="F6" s="5" t="s">
        <v>8</v>
      </c>
      <c r="G6" s="26">
        <v>8000</v>
      </c>
      <c r="H6" s="39">
        <f t="shared" si="0"/>
        <v>8000</v>
      </c>
      <c r="I6" s="33">
        <f t="shared" si="1"/>
        <v>8000</v>
      </c>
      <c r="J6" s="3"/>
    </row>
    <row r="7" spans="1:10">
      <c r="A7" s="2" t="s">
        <v>43</v>
      </c>
      <c r="B7" s="2" t="s">
        <v>15</v>
      </c>
      <c r="C7" s="6" t="s">
        <v>58</v>
      </c>
      <c r="D7" s="26">
        <v>8</v>
      </c>
      <c r="E7" s="27">
        <v>8</v>
      </c>
      <c r="F7" s="5" t="s">
        <v>8</v>
      </c>
      <c r="G7" s="26">
        <v>2450</v>
      </c>
      <c r="H7" s="39">
        <f t="shared" si="0"/>
        <v>19600</v>
      </c>
      <c r="I7" s="33">
        <f t="shared" si="1"/>
        <v>19600</v>
      </c>
      <c r="J7" s="3"/>
    </row>
    <row r="8" spans="1:10" ht="39">
      <c r="A8" s="2" t="s">
        <v>43</v>
      </c>
      <c r="B8" s="2" t="s">
        <v>17</v>
      </c>
      <c r="C8" s="6" t="s">
        <v>62</v>
      </c>
      <c r="D8" s="26">
        <v>1</v>
      </c>
      <c r="E8" s="27">
        <v>1</v>
      </c>
      <c r="F8" s="5" t="s">
        <v>18</v>
      </c>
      <c r="G8" s="26">
        <v>4700</v>
      </c>
      <c r="H8" s="39">
        <f t="shared" si="0"/>
        <v>4700</v>
      </c>
      <c r="I8" s="33">
        <f t="shared" si="1"/>
        <v>4700</v>
      </c>
      <c r="J8" s="3" t="s">
        <v>19</v>
      </c>
    </row>
    <row r="9" spans="1:10" ht="36">
      <c r="A9" s="2" t="s">
        <v>43</v>
      </c>
      <c r="B9" s="2" t="s">
        <v>10</v>
      </c>
      <c r="C9" s="12" t="s">
        <v>20</v>
      </c>
      <c r="D9" s="26">
        <f>3+5</f>
        <v>8</v>
      </c>
      <c r="E9" s="31">
        <v>5</v>
      </c>
      <c r="F9" s="5" t="s">
        <v>11</v>
      </c>
      <c r="G9" s="26">
        <v>7500</v>
      </c>
      <c r="H9" s="39">
        <f t="shared" si="0"/>
        <v>60000</v>
      </c>
      <c r="I9" s="33">
        <f t="shared" si="1"/>
        <v>37500</v>
      </c>
      <c r="J9" s="3" t="s">
        <v>12</v>
      </c>
    </row>
    <row r="10" spans="1:10" ht="39">
      <c r="A10" s="2" t="s">
        <v>44</v>
      </c>
      <c r="B10" s="2" t="s">
        <v>17</v>
      </c>
      <c r="C10" s="6" t="s">
        <v>62</v>
      </c>
      <c r="D10" s="26">
        <v>7</v>
      </c>
      <c r="E10" s="27">
        <v>7</v>
      </c>
      <c r="F10" s="5" t="s">
        <v>11</v>
      </c>
      <c r="G10" s="26">
        <v>4700</v>
      </c>
      <c r="H10" s="39">
        <f t="shared" si="0"/>
        <v>32900</v>
      </c>
      <c r="I10" s="33">
        <f t="shared" si="1"/>
        <v>32900</v>
      </c>
      <c r="J10" s="3" t="s">
        <v>19</v>
      </c>
    </row>
    <row r="11" spans="1:10" ht="39">
      <c r="A11" s="2" t="s">
        <v>45</v>
      </c>
      <c r="B11" s="2" t="s">
        <v>10</v>
      </c>
      <c r="C11" s="6" t="s">
        <v>60</v>
      </c>
      <c r="D11" s="30">
        <f>23+3</f>
        <v>26</v>
      </c>
      <c r="E11" s="31">
        <v>23</v>
      </c>
      <c r="F11" s="5" t="s">
        <v>11</v>
      </c>
      <c r="G11" s="26">
        <v>5165</v>
      </c>
      <c r="H11" s="39">
        <f t="shared" si="0"/>
        <v>134290</v>
      </c>
      <c r="I11" s="33">
        <f t="shared" si="1"/>
        <v>118795</v>
      </c>
      <c r="J11" s="3" t="s">
        <v>12</v>
      </c>
    </row>
    <row r="12" spans="1:10" ht="26">
      <c r="A12" s="2" t="s">
        <v>54</v>
      </c>
      <c r="B12" s="2" t="s">
        <v>21</v>
      </c>
      <c r="C12" s="12" t="s">
        <v>22</v>
      </c>
      <c r="D12" s="32">
        <v>4</v>
      </c>
      <c r="E12" s="44">
        <v>2</v>
      </c>
      <c r="F12" s="9" t="s">
        <v>8</v>
      </c>
      <c r="G12" s="33">
        <v>22000</v>
      </c>
      <c r="H12" s="39">
        <f t="shared" si="0"/>
        <v>88000</v>
      </c>
      <c r="I12" s="33">
        <f t="shared" si="1"/>
        <v>44000</v>
      </c>
      <c r="J12" s="6" t="s">
        <v>23</v>
      </c>
    </row>
    <row r="13" spans="1:10" ht="39">
      <c r="A13" s="2" t="s">
        <v>46</v>
      </c>
      <c r="B13" s="2" t="s">
        <v>10</v>
      </c>
      <c r="C13" s="6" t="s">
        <v>60</v>
      </c>
      <c r="D13" s="33">
        <f>29-12+9</f>
        <v>26</v>
      </c>
      <c r="E13" s="44">
        <v>21</v>
      </c>
      <c r="F13" s="9" t="s">
        <v>11</v>
      </c>
      <c r="G13" s="33">
        <v>5165</v>
      </c>
      <c r="H13" s="39">
        <f t="shared" si="0"/>
        <v>134290</v>
      </c>
      <c r="I13" s="33">
        <f t="shared" si="1"/>
        <v>108465</v>
      </c>
      <c r="J13" s="3" t="s">
        <v>12</v>
      </c>
    </row>
    <row r="14" spans="1:10" ht="26">
      <c r="A14" s="2" t="s">
        <v>47</v>
      </c>
      <c r="B14" s="2" t="s">
        <v>24</v>
      </c>
      <c r="C14" s="12" t="s">
        <v>25</v>
      </c>
      <c r="D14" s="26">
        <v>18</v>
      </c>
      <c r="E14" s="27">
        <v>18</v>
      </c>
      <c r="F14" s="5" t="s">
        <v>8</v>
      </c>
      <c r="G14" s="40">
        <v>3300</v>
      </c>
      <c r="H14" s="39">
        <f t="shared" si="0"/>
        <v>59400</v>
      </c>
      <c r="I14" s="33">
        <f t="shared" si="1"/>
        <v>59400</v>
      </c>
      <c r="J14" s="6" t="s">
        <v>26</v>
      </c>
    </row>
    <row r="15" spans="1:10" ht="26">
      <c r="A15" s="2" t="s">
        <v>47</v>
      </c>
      <c r="B15" s="2" t="s">
        <v>27</v>
      </c>
      <c r="C15" s="12" t="s">
        <v>28</v>
      </c>
      <c r="D15" s="26">
        <v>5</v>
      </c>
      <c r="E15" s="27">
        <v>5</v>
      </c>
      <c r="F15" s="5" t="s">
        <v>8</v>
      </c>
      <c r="G15" s="40">
        <v>12450</v>
      </c>
      <c r="H15" s="39">
        <f t="shared" si="0"/>
        <v>62250</v>
      </c>
      <c r="I15" s="33">
        <f t="shared" si="1"/>
        <v>62250</v>
      </c>
      <c r="J15" s="6" t="s">
        <v>29</v>
      </c>
    </row>
    <row r="16" spans="1:10">
      <c r="A16" s="2" t="s">
        <v>47</v>
      </c>
      <c r="B16" s="2" t="s">
        <v>30</v>
      </c>
      <c r="C16" s="12" t="s">
        <v>31</v>
      </c>
      <c r="D16" s="26">
        <v>1</v>
      </c>
      <c r="E16" s="27">
        <v>1</v>
      </c>
      <c r="F16" s="5" t="s">
        <v>8</v>
      </c>
      <c r="G16" s="40">
        <v>51000</v>
      </c>
      <c r="H16" s="39">
        <f t="shared" si="0"/>
        <v>51000</v>
      </c>
      <c r="I16" s="33">
        <f t="shared" si="1"/>
        <v>51000</v>
      </c>
      <c r="J16" s="6" t="s">
        <v>29</v>
      </c>
    </row>
    <row r="17" spans="1:10" ht="65">
      <c r="A17" s="2" t="s">
        <v>47</v>
      </c>
      <c r="B17" s="2" t="s">
        <v>32</v>
      </c>
      <c r="C17" s="6" t="s">
        <v>59</v>
      </c>
      <c r="D17" s="26">
        <v>13</v>
      </c>
      <c r="E17" s="31">
        <v>5</v>
      </c>
      <c r="F17" s="5" t="s">
        <v>11</v>
      </c>
      <c r="G17" s="40">
        <v>9000</v>
      </c>
      <c r="H17" s="39">
        <f t="shared" si="0"/>
        <v>117000</v>
      </c>
      <c r="I17" s="33">
        <f t="shared" si="1"/>
        <v>45000</v>
      </c>
      <c r="J17" s="3" t="s">
        <v>33</v>
      </c>
    </row>
    <row r="18" spans="1:10">
      <c r="A18" s="2" t="s">
        <v>47</v>
      </c>
      <c r="B18" s="11" t="s">
        <v>34</v>
      </c>
      <c r="C18" s="13" t="s">
        <v>48</v>
      </c>
      <c r="D18" s="34">
        <v>15</v>
      </c>
      <c r="E18" s="35">
        <v>15</v>
      </c>
      <c r="F18" s="11" t="s">
        <v>35</v>
      </c>
      <c r="G18" s="41">
        <v>350</v>
      </c>
      <c r="H18" s="42">
        <f>D18*G18</f>
        <v>5250</v>
      </c>
      <c r="I18" s="33">
        <f t="shared" si="1"/>
        <v>5250</v>
      </c>
      <c r="J18" s="10"/>
    </row>
    <row r="19" spans="1:10">
      <c r="A19" s="2" t="s">
        <v>47</v>
      </c>
      <c r="B19" s="11" t="s">
        <v>36</v>
      </c>
      <c r="C19" s="14" t="s">
        <v>37</v>
      </c>
      <c r="D19" s="34">
        <v>30</v>
      </c>
      <c r="E19" s="35">
        <v>30</v>
      </c>
      <c r="F19" s="11" t="s">
        <v>18</v>
      </c>
      <c r="G19" s="41">
        <v>75</v>
      </c>
      <c r="H19" s="42">
        <f t="shared" ref="H19:H22" si="2">D19*G19</f>
        <v>2250</v>
      </c>
      <c r="I19" s="33">
        <f t="shared" si="1"/>
        <v>2250</v>
      </c>
      <c r="J19" s="10"/>
    </row>
    <row r="20" spans="1:10">
      <c r="A20" s="2" t="s">
        <v>47</v>
      </c>
      <c r="B20" s="11" t="s">
        <v>38</v>
      </c>
      <c r="C20" s="15" t="s">
        <v>49</v>
      </c>
      <c r="D20" s="34">
        <v>30</v>
      </c>
      <c r="E20" s="35">
        <v>30</v>
      </c>
      <c r="F20" s="11" t="s">
        <v>39</v>
      </c>
      <c r="G20" s="41">
        <v>14</v>
      </c>
      <c r="H20" s="42">
        <f t="shared" si="2"/>
        <v>420</v>
      </c>
      <c r="I20" s="33">
        <f t="shared" si="1"/>
        <v>420</v>
      </c>
      <c r="J20" s="10"/>
    </row>
    <row r="21" spans="1:10" ht="40.5">
      <c r="A21" s="2" t="s">
        <v>47</v>
      </c>
      <c r="B21" s="11" t="s">
        <v>40</v>
      </c>
      <c r="C21" s="16" t="s">
        <v>50</v>
      </c>
      <c r="D21" s="34">
        <v>15</v>
      </c>
      <c r="E21" s="36">
        <v>15</v>
      </c>
      <c r="F21" s="11" t="s">
        <v>8</v>
      </c>
      <c r="G21" s="41">
        <v>1300</v>
      </c>
      <c r="H21" s="42">
        <f t="shared" si="2"/>
        <v>19500</v>
      </c>
      <c r="I21" s="33">
        <f t="shared" si="1"/>
        <v>19500</v>
      </c>
      <c r="J21" s="10"/>
    </row>
    <row r="22" spans="1:10" ht="94.5">
      <c r="A22" s="2" t="s">
        <v>47</v>
      </c>
      <c r="B22" s="11" t="s">
        <v>40</v>
      </c>
      <c r="C22" s="16" t="s">
        <v>51</v>
      </c>
      <c r="D22" s="34">
        <v>5</v>
      </c>
      <c r="E22" s="36">
        <v>5</v>
      </c>
      <c r="F22" s="11" t="s">
        <v>8</v>
      </c>
      <c r="G22" s="41">
        <v>1600</v>
      </c>
      <c r="H22" s="42">
        <f t="shared" si="2"/>
        <v>8000</v>
      </c>
      <c r="I22" s="33">
        <f t="shared" si="1"/>
        <v>8000</v>
      </c>
      <c r="J22" s="10"/>
    </row>
    <row r="23" spans="1:10">
      <c r="H23" s="43">
        <f>SUM(H2:H22)</f>
        <v>899995</v>
      </c>
      <c r="I23" s="43">
        <f>SUM(I2:I22)</f>
        <v>720175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Mr.Z</dc:creator>
  <cp:lastModifiedBy>冀 张</cp:lastModifiedBy>
  <dcterms:created xsi:type="dcterms:W3CDTF">2015-06-05T18:19:34Z</dcterms:created>
  <dcterms:modified xsi:type="dcterms:W3CDTF">2026-02-02T08:03:40Z</dcterms:modified>
</cp:coreProperties>
</file>