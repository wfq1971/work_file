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360"/>
  </bookViews>
  <sheets>
    <sheet name="控制系统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<sst xmlns="http://schemas.openxmlformats.org/spreadsheetml/2006/main" count="175" uniqueCount="112">
  <si>
    <t>名称</t>
  </si>
  <si>
    <t>部件编号</t>
  </si>
  <si>
    <t>厂家</t>
  </si>
  <si>
    <t>单个部件</t>
  </si>
  <si>
    <t>订购件数</t>
  </si>
  <si>
    <t>1AMC1</t>
  </si>
  <si>
    <t>24v电源</t>
  </si>
  <si>
    <t>电源 SITOP PSU100S/1AC/DC24V/10A</t>
  </si>
  <si>
    <t>6EP1334-2BA20</t>
  </si>
  <si>
    <t>西门子</t>
  </si>
  <si>
    <t>件</t>
  </si>
  <si>
    <t>1#机架</t>
  </si>
  <si>
    <r>
      <rPr>
        <sz val="12"/>
        <rFont val="宋体"/>
        <charset val="134"/>
      </rPr>
      <t>D</t>
    </r>
    <r>
      <rPr>
        <sz val="10"/>
        <rFont val="Arial"/>
        <charset val="134"/>
      </rPr>
      <t>I</t>
    </r>
  </si>
  <si>
    <r>
      <rPr>
        <sz val="12"/>
        <rFont val="宋体"/>
        <charset val="134"/>
      </rPr>
      <t>D</t>
    </r>
    <r>
      <rPr>
        <sz val="10"/>
        <rFont val="Arial"/>
        <charset val="134"/>
      </rPr>
      <t>O</t>
    </r>
  </si>
  <si>
    <r>
      <rPr>
        <sz val="12"/>
        <rFont val="宋体"/>
        <charset val="134"/>
      </rPr>
      <t>A</t>
    </r>
    <r>
      <rPr>
        <sz val="10"/>
        <rFont val="Arial"/>
        <charset val="134"/>
      </rPr>
      <t>I</t>
    </r>
  </si>
  <si>
    <t>AO</t>
  </si>
  <si>
    <t>TC</t>
  </si>
  <si>
    <t>RTD</t>
  </si>
  <si>
    <t>机架</t>
  </si>
  <si>
    <t>S7-1500, mounting rail 160 mm (6.3")</t>
  </si>
  <si>
    <t>SIMATIC S7-1500，异型导轨 160 mm（大约 6.3 英寸）； 包括接地螺栓， 集成 DIN 导轨 用于安装小型物料 如端子之类，断路 器和继电器</t>
  </si>
  <si>
    <t>6ES7590-1AB60-0AA0</t>
  </si>
  <si>
    <t>电源</t>
  </si>
  <si>
    <t>S7-1500, PS 25W 24V DC</t>
  </si>
  <si>
    <t>SIMATIC S7-1500， 系统电源 PS 25W 24V DC，为 S7-1500 的背板总线 提供工作电压， 集成功率计 功能</t>
  </si>
  <si>
    <t>6ES7505-0KA01-0AB0</t>
  </si>
  <si>
    <t>CPU</t>
  </si>
  <si>
    <t>CPU 1513R-1 PN, 600KB program/2,5MB data</t>
  </si>
  <si>
    <t>SIMATIC S7-1500R， CPU 1513R-1PN， 中央处理器，带 工作存储器 600KB 用于 程序及 2.5MB 用于数据， 第 1 个接口：PROFINET RT 带双接口交换机， 需要 SIMATIC 存储卡</t>
  </si>
  <si>
    <t>6ES7513-1RM03-0AB0</t>
  </si>
  <si>
    <t>存储卡</t>
  </si>
  <si>
    <t>SIMATIC S7 Memory Card, 24 MB</t>
  </si>
  <si>
    <t>SIMATIC S7，存储卡 用于 S7-1x00 CPU/SINAMICS， 3，3V Flash，24 MB</t>
  </si>
  <si>
    <t>6ES7954-8LF04-0AA0</t>
  </si>
  <si>
    <t>通讯模块</t>
  </si>
  <si>
    <t>通信处理器 CP 1543-1</t>
  </si>
  <si>
    <t>6GK7543-1AX00-0XE0</t>
  </si>
  <si>
    <r>
      <rPr>
        <b/>
        <sz val="12"/>
        <rFont val="宋体"/>
        <charset val="134"/>
      </rPr>
      <t>柜内其他元器件</t>
    </r>
  </si>
  <si>
    <t>柜体</t>
  </si>
  <si>
    <t>2200H×600W×800D，冷轧板 厚度≥2.0mm、色卡号： RAL7035、喷塑、前后开门、 带安装板、照明及风扇及开 关</t>
  </si>
  <si>
    <t>1AMC2</t>
  </si>
  <si>
    <t>用于IM接口模块和CPU供电</t>
  </si>
  <si>
    <t>电源 SITOP PSU100S/1AC/DC24V/5A</t>
  </si>
  <si>
    <t>6EP1333-2BA20</t>
  </si>
  <si>
    <t>用于IO模块和继电器/隔离器等供电</t>
  </si>
  <si>
    <t>电源 SITOP PSU100S/1AC/DC24V/20A</t>
  </si>
  <si>
    <t>6EP1336-2BA10</t>
  </si>
  <si>
    <t>1#2#机架</t>
  </si>
  <si>
    <t>Stand.sectional Rail 35mm, Length 483mm</t>
  </si>
  <si>
    <t>SIMATIC，标准成型导轨 35mm，长度 483mm 用于 19” 机柜</t>
  </si>
  <si>
    <t>6ES5710-8MA11</t>
  </si>
  <si>
    <t>接口模块</t>
  </si>
  <si>
    <t>ET 200SP, IM 155-6 PN ST</t>
  </si>
  <si>
    <t>SIMATIC ET 200SP， PROFINET 接口模块 IM 155-6 PN ST， 最多 32 个 I/O 模块， 和 16 ET 200AL 模块， 多功能热插拔， 可选的 PN 电缆夹， PN 安全等级 1 包括服务器模块 (6ES7193-6PA00-0AA0)</t>
  </si>
  <si>
    <t>6ES7155-6AU02-0BN0</t>
  </si>
  <si>
    <t>总线适配器</t>
  </si>
  <si>
    <t>ET 200SP, Busadapter BA 2xRJ45</t>
  </si>
  <si>
    <t>SIMATIC ET 200SP， 总线适配器 BA 2xRJ45， 2 个 RJ45 插座</t>
  </si>
  <si>
    <t>6ES7193-6AR00-0AA0</t>
  </si>
  <si>
    <t>数字量输入模块</t>
  </si>
  <si>
    <t>ET 200SP, DI 16x 24V DC ST, PU 1</t>
  </si>
  <si>
    <t>IMATIC ET 200SP，数字输入模块，DI 16x 24V 直流标准，类型 3 （IEC 61131），接收器输入，（PNP，P 读数），包装单元：1 件，适合 BU 型 A0，颜色代码 CC00，输入延迟时间 0,05..20ms，诊断断线，诊断电源电压</t>
  </si>
  <si>
    <t>6ES7131-6BH01-0BA0</t>
  </si>
  <si>
    <t>数字量输出模块</t>
  </si>
  <si>
    <t>ET 200SP, DQ 16x 24V DC/0,5A ST, PU 1</t>
  </si>
  <si>
    <r>
      <rPr>
        <sz val="12"/>
        <rFont val="宋体"/>
        <charset val="134"/>
      </rPr>
      <t>SIMATIC ET 200SP</t>
    </r>
    <r>
      <rPr>
        <sz val="10"/>
        <rFont val="宋体"/>
        <charset val="134"/>
      </rPr>
      <t>，</t>
    </r>
    <r>
      <rPr>
        <sz val="12"/>
        <rFont val="宋体"/>
        <charset val="134"/>
      </rPr>
      <t>数字输出模块，</t>
    </r>
    <r>
      <rPr>
        <sz val="12"/>
        <rFont val="Arial"/>
        <charset val="134"/>
      </rPr>
      <t xml:space="preserve">DQ 16x 24V DC/0,5A </t>
    </r>
    <r>
      <rPr>
        <sz val="12"/>
        <rFont val="宋体"/>
        <charset val="134"/>
      </rPr>
      <t>标准，源输出（</t>
    </r>
    <r>
      <rPr>
        <sz val="12"/>
        <rFont val="Arial"/>
        <charset val="134"/>
      </rPr>
      <t>PNP</t>
    </r>
    <r>
      <rPr>
        <sz val="12"/>
        <rFont val="宋体"/>
        <charset val="134"/>
      </rPr>
      <t>，</t>
    </r>
    <r>
      <rPr>
        <sz val="12"/>
        <rFont val="Arial"/>
        <charset val="134"/>
      </rPr>
      <t xml:space="preserve">P </t>
    </r>
    <r>
      <rPr>
        <sz val="12"/>
        <rFont val="宋体"/>
        <charset val="134"/>
      </rPr>
      <t>开关）包装单元：</t>
    </r>
    <r>
      <rPr>
        <sz val="12"/>
        <rFont val="Arial"/>
        <charset val="134"/>
      </rPr>
      <t xml:space="preserve">1 </t>
    </r>
    <r>
      <rPr>
        <sz val="12"/>
        <rFont val="宋体"/>
        <charset val="134"/>
      </rPr>
      <t>件，适合</t>
    </r>
    <r>
      <rPr>
        <sz val="12"/>
        <rFont val="Arial"/>
        <charset val="134"/>
      </rPr>
      <t xml:space="preserve"> BU </t>
    </r>
    <r>
      <rPr>
        <sz val="12"/>
        <rFont val="宋体"/>
        <charset val="134"/>
      </rPr>
      <t>型</t>
    </r>
    <r>
      <rPr>
        <sz val="12"/>
        <rFont val="Arial"/>
        <charset val="134"/>
      </rPr>
      <t xml:space="preserve"> A0</t>
    </r>
    <r>
      <rPr>
        <sz val="12"/>
        <rFont val="宋体"/>
        <charset val="134"/>
      </rPr>
      <t>，颜色代码</t>
    </r>
    <r>
      <rPr>
        <sz val="12"/>
        <rFont val="Arial"/>
        <charset val="134"/>
      </rPr>
      <t xml:space="preserve"> CC00</t>
    </r>
    <r>
      <rPr>
        <sz val="12"/>
        <rFont val="宋体"/>
        <charset val="134"/>
      </rPr>
      <t>，替代值输出，模块诊断：</t>
    </r>
    <r>
      <rPr>
        <sz val="12"/>
        <rFont val="Arial"/>
        <charset val="134"/>
      </rPr>
      <t xml:space="preserve">L+ </t>
    </r>
    <r>
      <rPr>
        <sz val="12"/>
        <rFont val="宋体"/>
        <charset val="134"/>
      </rPr>
      <t>和接地短路、断线、电源电压</t>
    </r>
  </si>
  <si>
    <t>6ES7132-6BH01-0BA0</t>
  </si>
  <si>
    <t>基础单元</t>
  </si>
  <si>
    <t>BaseUnit Type A0, BU15-P16+A0+2D</t>
  </si>
  <si>
    <t>SIMATIC ET 200SP， 基础单元 BU15-P16+A0+2D， 类型 A0 的基础单元， 直插式端子， 不带 AUX 端子， 新的负载组， 宽x高：15x 117mm</t>
  </si>
  <si>
    <t>6ES7193-6BP00-0DA0</t>
  </si>
  <si>
    <t>BaseUnit Type A0, BU15-P16+A0+2B</t>
  </si>
  <si>
    <t>SIMATIC ET 200SP， 基础单元 BU15-P16+A0+2B， 类型 A0 的基础单元， 直插式端子， 不带 AUX 端子， 已向左桥接， 宽x高：15x 117mm</t>
  </si>
  <si>
    <t>6ES7193-6BP00-0BA0</t>
  </si>
  <si>
    <t>模拟量输入模块</t>
  </si>
  <si>
    <t>ET 200SP, AI 4XI 2-/4-Wire ST, PU 1</t>
  </si>
  <si>
    <t xml:space="preserve"> SIMATIC ET 200SP，模拟输入模块，AI 4XI 2/4 线标准，包装单元：1 件，适合 BU 型 A0、A1，颜色代码 CC03，模块诊断，16 位，+/-0,3%</t>
  </si>
  <si>
    <t>6ES7134-6GD01-0BA1</t>
  </si>
  <si>
    <t>模拟量输出模块</t>
  </si>
  <si>
    <t>ET 200SP, AQ 4xU/I ST</t>
  </si>
  <si>
    <t>SIMATIC ET 200SP， 模拟式输出端模块， 模拟输出 4XU/I 标准型， 适合用于 A0 类型的基座单元，A1， 颜色代码 CC00， 模块诊断，16 位，+/-0.3%</t>
  </si>
  <si>
    <t>6ES7135-6HD00-0BA1</t>
  </si>
  <si>
    <t>BaseUnit Type A1, BU15-P16+A0+2D/T</t>
  </si>
  <si>
    <t xml:space="preserve"> SIMATIC ET 200SP， 基础单元 BU15-P16+A0+2D/T， 类型 A1 的基础单元， 直插式端子， 不带 AUX 端子， 新的负载组， 宽x高：15x 117mm， 带温度采集</t>
  </si>
  <si>
    <t>6ES7193-6BP00-0DA1</t>
  </si>
  <si>
    <t>BaseUnit Type A1, BU15-P16+A0+2B/T</t>
  </si>
  <si>
    <t>SIMATIC ET 200SP， 基础单元 BU15-P16+A0+2B/T， 类型 A1 的基础单元， 直插式端子， 不带 AUX 端子， 已向左桥接， 宽x高：15x 117mm， 带温度采集</t>
  </si>
  <si>
    <t>6ES7193-6BP00-0BA1</t>
  </si>
  <si>
    <r>
      <rPr>
        <sz val="12"/>
        <rFont val="宋体"/>
        <charset val="134"/>
      </rPr>
      <t>柜内其他元器件</t>
    </r>
  </si>
  <si>
    <t>电源端子</t>
  </si>
  <si>
    <t>UK5N</t>
  </si>
  <si>
    <t>菲尼克斯</t>
  </si>
  <si>
    <r>
      <rPr>
        <sz val="12"/>
        <rFont val="宋体"/>
        <charset val="134"/>
      </rPr>
      <t>控制端子端子</t>
    </r>
  </si>
  <si>
    <t>UK3N</t>
  </si>
  <si>
    <r>
      <rPr>
        <sz val="12"/>
        <rFont val="宋体"/>
        <charset val="134"/>
      </rPr>
      <t>菲尼克斯</t>
    </r>
  </si>
  <si>
    <r>
      <rPr>
        <sz val="12"/>
        <rFont val="宋体"/>
        <charset val="134"/>
      </rPr>
      <t>熔断丝端子</t>
    </r>
  </si>
  <si>
    <r>
      <rPr>
        <sz val="12"/>
        <rFont val="宋体"/>
        <charset val="134"/>
      </rPr>
      <t>微信直流断路器</t>
    </r>
  </si>
  <si>
    <t xml:space="preserve">IC65N-DC-1P-C4A </t>
  </si>
  <si>
    <r>
      <rPr>
        <sz val="12"/>
        <rFont val="宋体"/>
        <charset val="134"/>
      </rPr>
      <t>施耐德</t>
    </r>
  </si>
  <si>
    <r>
      <rPr>
        <sz val="12"/>
        <rFont val="宋体"/>
        <charset val="134"/>
      </rPr>
      <t>微型交流断路器</t>
    </r>
  </si>
  <si>
    <t xml:space="preserve">iC65N-1P-C6A </t>
  </si>
  <si>
    <t xml:space="preserve">iC65N-1P-C16A </t>
  </si>
  <si>
    <t>隔离配电器</t>
  </si>
  <si>
    <t>MSC3001-C0C0</t>
  </si>
  <si>
    <t>MSC3001电流隔离器，输入侧防雷</t>
  </si>
  <si>
    <r>
      <rPr>
        <sz val="10"/>
        <rFont val="宋体"/>
        <charset val="134"/>
      </rPr>
      <t>隔离配电器未考虑</t>
    </r>
    <r>
      <rPr>
        <sz val="10"/>
        <rFont val="Arial"/>
        <charset val="134"/>
      </rPr>
      <t>20%</t>
    </r>
    <r>
      <rPr>
        <sz val="10"/>
        <rFont val="宋体"/>
        <charset val="134"/>
      </rPr>
      <t>余量</t>
    </r>
  </si>
  <si>
    <t>MSC3011-C0C0</t>
  </si>
  <si>
    <t>MSC3011电流隔离器（输出型），输出侧防雷</t>
  </si>
  <si>
    <t>继电器</t>
  </si>
  <si>
    <r>
      <rPr>
        <sz val="12"/>
        <rFont val="宋体"/>
        <charset val="134"/>
      </rPr>
      <t xml:space="preserve">3RQ0061-0DB42 </t>
    </r>
    <r>
      <rPr>
        <sz val="12"/>
        <rFont val="宋体"/>
        <charset val="134"/>
      </rPr>
      <t>底座</t>
    </r>
    <r>
      <rPr>
        <sz val="12"/>
        <rFont val="Times New Roman"/>
        <charset val="134"/>
      </rPr>
      <t>3RQ0081-1AB04</t>
    </r>
  </si>
  <si>
    <t>线圈：机械指示，LED指示，带测试拨杆 1CO-12A    底座：经济型螺钉端子</t>
  </si>
  <si>
    <t>2200H×800W×600D，冷轧板 厚度≥2.0mm、色卡号： RAL7035、喷塑、前后开门、 带安装板、照明及风扇及开 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</si>
</sst>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name val="Arial"/>
      <charset val="134"/>
    </font>
    <font>
      <sz val="12"/>
      <name val="宋体"/>
      <charset val="134"/>
    </font>
    <font>
      <b/>
      <sz val="12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2"/>
      <name val="Arial"/>
      <charset val="134"/>
    </font>
    <font>
      <sz val="1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zoomScale="58" zoomScaleNormal="58" topLeftCell="A17" workbookViewId="0">
      <selection activeCell="J33" sqref="J33"/>
    </sheetView>
  </sheetViews>
  <sheetFormatPr defaultColWidth="10" defaultRowHeight="12.5"/>
  <cols>
    <col min="1" max="1" width="18.7090909090909" customWidth="1"/>
    <col min="2" max="2" width="57.1363636363636" customWidth="1"/>
    <col min="3" max="3" width="64.5818181818182" style="1" customWidth="1"/>
    <col min="4" max="4" width="22.8545454545455" customWidth="1"/>
    <col min="5" max="5" width="15.3545454545455" customWidth="1"/>
    <col min="6" max="6" width="13.7909090909091" customWidth="1"/>
    <col min="7" max="7" width="14.5727272727273" customWidth="1"/>
    <col min="8" max="8" width="30.5636363636364" customWidth="1"/>
  </cols>
  <sheetData>
    <row r="1" ht="15" spans="1:14">
      <c r="A1" s="2"/>
      <c r="B1" s="3" t="s">
        <v>0</v>
      </c>
      <c r="C1" s="4"/>
      <c r="D1" s="3" t="s">
        <v>1</v>
      </c>
      <c r="E1" s="3" t="s">
        <v>2</v>
      </c>
      <c r="F1" s="3" t="s">
        <v>3</v>
      </c>
      <c r="G1" s="3" t="s">
        <v>4</v>
      </c>
    </row>
    <row r="2" ht="15" spans="1:14">
      <c r="A2" s="3" t="s">
        <v>5</v>
      </c>
      <c r="B2" s="3"/>
      <c r="C2" s="4"/>
      <c r="D2" s="3"/>
      <c r="E2" s="3"/>
      <c r="F2" s="3"/>
      <c r="G2" s="3"/>
    </row>
    <row r="3" ht="15" spans="1:14">
      <c r="A3" s="2" t="s">
        <v>6</v>
      </c>
      <c r="B3" s="5" t="s">
        <v>7</v>
      </c>
      <c r="C3" s="6"/>
      <c r="D3" s="5" t="s">
        <v>8</v>
      </c>
      <c r="E3" s="5" t="s">
        <v>9</v>
      </c>
      <c r="F3" s="2">
        <v>2</v>
      </c>
      <c r="G3" s="2" t="s">
        <v>10</v>
      </c>
    </row>
    <row r="4" ht="15" spans="1:14">
      <c r="A4" s="2">
        <v>3</v>
      </c>
      <c r="B4" s="3" t="s">
        <v>11</v>
      </c>
      <c r="C4" s="4"/>
      <c r="D4" s="3"/>
      <c r="E4" s="3"/>
      <c r="F4" s="3"/>
      <c r="G4" s="3"/>
      <c r="H4" s="2"/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</row>
    <row r="5" ht="45" spans="1:14">
      <c r="A5" s="7" t="s">
        <v>18</v>
      </c>
      <c r="B5" s="7" t="s">
        <v>19</v>
      </c>
      <c r="C5" s="8" t="s">
        <v>20</v>
      </c>
      <c r="D5" s="7" t="s">
        <v>21</v>
      </c>
      <c r="E5" s="7" t="s">
        <v>9</v>
      </c>
      <c r="F5" s="7">
        <v>2</v>
      </c>
      <c r="G5" s="7" t="s">
        <v>10</v>
      </c>
      <c r="H5" s="2"/>
      <c r="I5" s="2">
        <v>100</v>
      </c>
      <c r="J5" s="2">
        <v>100</v>
      </c>
      <c r="K5" s="2">
        <v>25</v>
      </c>
      <c r="L5" s="2">
        <v>25</v>
      </c>
      <c r="M5" s="2"/>
      <c r="N5" s="2"/>
    </row>
    <row r="6" ht="30" spans="1:14">
      <c r="A6" s="7" t="s">
        <v>22</v>
      </c>
      <c r="B6" s="7" t="s">
        <v>23</v>
      </c>
      <c r="C6" s="8" t="s">
        <v>24</v>
      </c>
      <c r="D6" s="7" t="s">
        <v>25</v>
      </c>
      <c r="E6" s="7" t="s">
        <v>9</v>
      </c>
      <c r="F6" s="7">
        <v>2</v>
      </c>
      <c r="G6" s="7" t="s">
        <v>10</v>
      </c>
      <c r="H6" s="2"/>
      <c r="I6" s="2">
        <f>I5*1.2</f>
        <v>120</v>
      </c>
      <c r="J6" s="2">
        <f>J5*1.2</f>
        <v>120</v>
      </c>
      <c r="K6" s="2">
        <f>K5*1.2</f>
        <v>30</v>
      </c>
      <c r="L6" s="2">
        <f>L5*1.2</f>
        <v>30</v>
      </c>
      <c r="M6" s="2"/>
      <c r="N6" s="2"/>
    </row>
    <row r="7" ht="45" spans="1:14">
      <c r="A7" s="7" t="s">
        <v>26</v>
      </c>
      <c r="B7" s="7" t="s">
        <v>27</v>
      </c>
      <c r="C7" s="8" t="s">
        <v>28</v>
      </c>
      <c r="D7" s="7" t="s">
        <v>29</v>
      </c>
      <c r="E7" s="7" t="s">
        <v>9</v>
      </c>
      <c r="F7" s="7">
        <v>2</v>
      </c>
      <c r="G7" s="7" t="s">
        <v>10</v>
      </c>
      <c r="H7" s="2"/>
      <c r="I7" s="2">
        <f>I6/16</f>
        <v>7.5</v>
      </c>
      <c r="J7" s="2">
        <f>J6/16</f>
        <v>7.5</v>
      </c>
      <c r="K7" s="2">
        <f>K6/4</f>
        <v>7.5</v>
      </c>
      <c r="L7" s="2">
        <f>L6/4</f>
        <v>7.5</v>
      </c>
      <c r="M7" s="2"/>
      <c r="N7" s="2"/>
    </row>
    <row r="8" ht="30" spans="1:14">
      <c r="A8" s="7" t="s">
        <v>30</v>
      </c>
      <c r="B8" s="7" t="s">
        <v>31</v>
      </c>
      <c r="C8" s="8" t="s">
        <v>32</v>
      </c>
      <c r="D8" s="7" t="s">
        <v>33</v>
      </c>
      <c r="E8" s="7" t="s">
        <v>9</v>
      </c>
      <c r="F8" s="7">
        <v>2</v>
      </c>
      <c r="G8" s="7" t="s">
        <v>10</v>
      </c>
      <c r="H8" s="2"/>
      <c r="I8" s="2">
        <v>8</v>
      </c>
      <c r="J8" s="2">
        <v>8</v>
      </c>
      <c r="K8" s="2">
        <v>8</v>
      </c>
      <c r="L8" s="2">
        <v>8</v>
      </c>
      <c r="M8" s="2"/>
      <c r="N8" s="2"/>
    </row>
    <row r="9" ht="15" spans="1:14">
      <c r="A9" s="7" t="s">
        <v>34</v>
      </c>
      <c r="B9" s="7" t="s">
        <v>35</v>
      </c>
      <c r="C9" s="8"/>
      <c r="D9" s="7" t="s">
        <v>36</v>
      </c>
      <c r="E9" s="7" t="s">
        <v>9</v>
      </c>
      <c r="F9" s="7">
        <v>2</v>
      </c>
      <c r="G9" s="7" t="s">
        <v>10</v>
      </c>
      <c r="H9" s="2"/>
      <c r="I9" s="2"/>
      <c r="J9" s="2"/>
      <c r="K9" s="2"/>
      <c r="L9" s="2"/>
      <c r="M9" s="2"/>
      <c r="N9" s="2"/>
    </row>
    <row r="10" ht="15" spans="1:14">
      <c r="A10" s="7"/>
      <c r="B10" s="7"/>
      <c r="C10" s="8"/>
      <c r="D10" s="7"/>
      <c r="E10" s="7"/>
      <c r="F10" s="7"/>
      <c r="G10" s="7"/>
      <c r="H10" s="2"/>
      <c r="I10" s="2"/>
      <c r="J10" s="2"/>
      <c r="K10" s="2"/>
      <c r="L10" s="2"/>
      <c r="M10" s="2"/>
      <c r="N10" s="2"/>
    </row>
    <row r="11" ht="15" spans="1:14">
      <c r="A11" s="7"/>
      <c r="B11" s="7"/>
      <c r="C11" s="8"/>
      <c r="D11" s="7"/>
      <c r="E11" s="7"/>
      <c r="F11" s="7"/>
      <c r="G11" s="7"/>
      <c r="H11" s="2"/>
      <c r="I11" s="2"/>
      <c r="J11" s="2"/>
      <c r="K11" s="2"/>
      <c r="L11" s="2"/>
      <c r="M11" s="2"/>
      <c r="N11" s="2"/>
    </row>
    <row r="12" ht="15" spans="1:14">
      <c r="A12" s="2">
        <v>5</v>
      </c>
      <c r="B12" s="9" t="s">
        <v>37</v>
      </c>
      <c r="C12" s="10"/>
      <c r="D12" s="11"/>
      <c r="E12" s="11"/>
      <c r="F12" s="11"/>
      <c r="G12" s="12"/>
    </row>
    <row r="13" ht="30" spans="1:14">
      <c r="A13" s="2" t="s">
        <v>38</v>
      </c>
      <c r="B13" s="2"/>
      <c r="C13" s="6" t="s">
        <v>39</v>
      </c>
      <c r="D13" s="2"/>
      <c r="E13" s="2"/>
      <c r="F13" s="2">
        <v>1</v>
      </c>
      <c r="G13" s="2"/>
    </row>
    <row r="14" ht="15" spans="1:14">
      <c r="A14" s="3" t="s">
        <v>40</v>
      </c>
      <c r="B14" s="3"/>
      <c r="C14" s="4"/>
      <c r="D14" s="3"/>
      <c r="E14" s="3"/>
      <c r="F14" s="3"/>
      <c r="G14" s="3"/>
    </row>
    <row r="15" ht="15" spans="1:14">
      <c r="A15" s="2">
        <v>1</v>
      </c>
      <c r="B15" s="3" t="s">
        <v>22</v>
      </c>
      <c r="C15" s="4" t="s">
        <v>41</v>
      </c>
      <c r="D15" s="2"/>
      <c r="E15" s="2"/>
      <c r="F15" s="2"/>
      <c r="G15" s="2"/>
    </row>
    <row r="16" ht="15" spans="1:14">
      <c r="A16" s="2" t="s">
        <v>6</v>
      </c>
      <c r="B16" s="5" t="s">
        <v>42</v>
      </c>
      <c r="C16" s="6"/>
      <c r="D16" s="5" t="s">
        <v>43</v>
      </c>
      <c r="E16" s="5" t="s">
        <v>9</v>
      </c>
      <c r="F16" s="2">
        <v>2</v>
      </c>
      <c r="G16" s="2" t="s">
        <v>10</v>
      </c>
    </row>
    <row r="17" ht="15" spans="1:7">
      <c r="A17" s="2">
        <v>2</v>
      </c>
      <c r="B17" s="3" t="s">
        <v>22</v>
      </c>
      <c r="C17" s="4" t="s">
        <v>44</v>
      </c>
      <c r="D17" s="2"/>
      <c r="E17" s="2"/>
      <c r="F17" s="2"/>
      <c r="G17" s="2"/>
    </row>
    <row r="18" ht="15" spans="1:7">
      <c r="A18" s="2" t="s">
        <v>6</v>
      </c>
      <c r="B18" s="5" t="s">
        <v>45</v>
      </c>
      <c r="C18" s="6"/>
      <c r="D18" s="5" t="s">
        <v>46</v>
      </c>
      <c r="E18" s="5" t="s">
        <v>9</v>
      </c>
      <c r="F18" s="2">
        <v>1</v>
      </c>
      <c r="G18" s="2" t="s">
        <v>10</v>
      </c>
    </row>
    <row r="19" ht="15" spans="1:7">
      <c r="A19" s="2">
        <v>3</v>
      </c>
      <c r="B19" s="3" t="s">
        <v>47</v>
      </c>
      <c r="C19" s="4"/>
      <c r="D19" s="3"/>
      <c r="E19" s="3"/>
      <c r="F19" s="3"/>
      <c r="G19" s="3"/>
    </row>
    <row r="20" ht="15" spans="1:7">
      <c r="A20" s="2" t="s">
        <v>18</v>
      </c>
      <c r="B20" s="5" t="s">
        <v>48</v>
      </c>
      <c r="C20" s="6" t="s">
        <v>49</v>
      </c>
      <c r="D20" s="5" t="s">
        <v>50</v>
      </c>
      <c r="E20" s="5" t="s">
        <v>9</v>
      </c>
      <c r="F20" s="2">
        <v>2</v>
      </c>
      <c r="G20" s="2" t="s">
        <v>10</v>
      </c>
    </row>
    <row r="21" ht="60" spans="1:7">
      <c r="A21" s="2" t="s">
        <v>51</v>
      </c>
      <c r="B21" s="5" t="s">
        <v>52</v>
      </c>
      <c r="C21" s="6" t="s">
        <v>53</v>
      </c>
      <c r="D21" s="5" t="s">
        <v>54</v>
      </c>
      <c r="E21" s="5" t="s">
        <v>9</v>
      </c>
      <c r="F21" s="2">
        <v>2</v>
      </c>
      <c r="G21" s="2" t="s">
        <v>10</v>
      </c>
    </row>
    <row r="22" ht="15" spans="1:7">
      <c r="A22" s="2" t="s">
        <v>55</v>
      </c>
      <c r="B22" s="5" t="s">
        <v>56</v>
      </c>
      <c r="C22" s="6" t="s">
        <v>57</v>
      </c>
      <c r="D22" s="5" t="s">
        <v>58</v>
      </c>
      <c r="E22" s="5" t="s">
        <v>9</v>
      </c>
      <c r="F22" s="2">
        <v>2</v>
      </c>
      <c r="G22" s="2" t="s">
        <v>10</v>
      </c>
    </row>
    <row r="23" ht="60" spans="1:7">
      <c r="A23" s="2" t="s">
        <v>59</v>
      </c>
      <c r="B23" s="5" t="s">
        <v>60</v>
      </c>
      <c r="C23" s="6" t="s">
        <v>61</v>
      </c>
      <c r="D23" s="5" t="s">
        <v>62</v>
      </c>
      <c r="E23" s="5" t="s">
        <v>9</v>
      </c>
      <c r="F23" s="2">
        <v>8</v>
      </c>
      <c r="G23" s="2" t="s">
        <v>10</v>
      </c>
    </row>
    <row r="24" ht="61.5" spans="1:7">
      <c r="A24" s="2" t="s">
        <v>63</v>
      </c>
      <c r="B24" s="5" t="s">
        <v>64</v>
      </c>
      <c r="C24" s="6" t="s">
        <v>65</v>
      </c>
      <c r="D24" s="5" t="s">
        <v>66</v>
      </c>
      <c r="E24" s="5" t="s">
        <v>9</v>
      </c>
      <c r="F24" s="2">
        <v>8</v>
      </c>
      <c r="G24" s="2" t="s">
        <v>10</v>
      </c>
    </row>
    <row r="25" ht="45" spans="1:7">
      <c r="A25" s="2" t="s">
        <v>67</v>
      </c>
      <c r="B25" s="5" t="s">
        <v>68</v>
      </c>
      <c r="C25" s="6" t="s">
        <v>69</v>
      </c>
      <c r="D25" s="5" t="s">
        <v>70</v>
      </c>
      <c r="E25" s="5" t="s">
        <v>9</v>
      </c>
      <c r="F25" s="2">
        <v>4</v>
      </c>
      <c r="G25" s="2" t="s">
        <v>10</v>
      </c>
    </row>
    <row r="26" ht="45" spans="1:7">
      <c r="A26" s="2" t="s">
        <v>67</v>
      </c>
      <c r="B26" s="5" t="s">
        <v>71</v>
      </c>
      <c r="C26" s="6" t="s">
        <v>72</v>
      </c>
      <c r="D26" s="5" t="s">
        <v>73</v>
      </c>
      <c r="E26" s="5" t="s">
        <v>9</v>
      </c>
      <c r="F26" s="2">
        <v>12</v>
      </c>
      <c r="G26" s="2" t="s">
        <v>10</v>
      </c>
    </row>
    <row r="27" ht="45" spans="1:7">
      <c r="A27" s="2" t="s">
        <v>74</v>
      </c>
      <c r="B27" s="5" t="s">
        <v>75</v>
      </c>
      <c r="C27" s="6" t="s">
        <v>76</v>
      </c>
      <c r="D27" s="5" t="s">
        <v>77</v>
      </c>
      <c r="E27" s="5" t="s">
        <v>9</v>
      </c>
      <c r="F27" s="2">
        <v>8</v>
      </c>
      <c r="G27" s="2" t="s">
        <v>10</v>
      </c>
    </row>
    <row r="28" ht="45" spans="1:7">
      <c r="A28" s="2" t="s">
        <v>78</v>
      </c>
      <c r="B28" s="5" t="s">
        <v>79</v>
      </c>
      <c r="C28" s="6" t="s">
        <v>80</v>
      </c>
      <c r="D28" s="5" t="s">
        <v>81</v>
      </c>
      <c r="E28" s="5" t="s">
        <v>9</v>
      </c>
      <c r="F28" s="2">
        <v>8</v>
      </c>
      <c r="G28" s="2" t="s">
        <v>10</v>
      </c>
    </row>
    <row r="29" ht="45" spans="1:7">
      <c r="A29" s="2" t="s">
        <v>67</v>
      </c>
      <c r="B29" s="5" t="s">
        <v>82</v>
      </c>
      <c r="C29" s="6" t="s">
        <v>83</v>
      </c>
      <c r="D29" s="5" t="s">
        <v>84</v>
      </c>
      <c r="E29" s="5" t="s">
        <v>9</v>
      </c>
      <c r="F29" s="2">
        <v>4</v>
      </c>
      <c r="G29" s="2" t="s">
        <v>10</v>
      </c>
    </row>
    <row r="30" ht="45" spans="1:7">
      <c r="A30" s="2" t="s">
        <v>67</v>
      </c>
      <c r="B30" s="5" t="s">
        <v>85</v>
      </c>
      <c r="C30" s="6" t="s">
        <v>86</v>
      </c>
      <c r="D30" s="5" t="s">
        <v>87</v>
      </c>
      <c r="E30" s="5" t="s">
        <v>9</v>
      </c>
      <c r="F30" s="2">
        <v>12</v>
      </c>
      <c r="G30" s="2" t="s">
        <v>10</v>
      </c>
    </row>
    <row r="31" ht="31" customHeight="1" spans="1:7">
      <c r="A31" s="2">
        <v>5</v>
      </c>
      <c r="B31" s="2" t="s">
        <v>88</v>
      </c>
      <c r="C31" s="13"/>
      <c r="D31" s="2"/>
      <c r="E31" s="2"/>
      <c r="F31" s="2"/>
      <c r="G31" s="2"/>
    </row>
    <row r="32" ht="31" customHeight="1" spans="1:7">
      <c r="A32" s="2" t="s">
        <v>89</v>
      </c>
      <c r="B32" s="2" t="s">
        <v>90</v>
      </c>
      <c r="C32" s="13" t="s">
        <v>89</v>
      </c>
      <c r="D32" s="2" t="s">
        <v>90</v>
      </c>
      <c r="E32" s="2" t="s">
        <v>91</v>
      </c>
      <c r="F32" s="2">
        <v>50</v>
      </c>
      <c r="G32" s="2"/>
    </row>
    <row r="33" ht="31" customHeight="1" spans="1:8">
      <c r="A33" s="2" t="s">
        <v>92</v>
      </c>
      <c r="B33" s="2" t="s">
        <v>93</v>
      </c>
      <c r="C33" s="13" t="s">
        <v>92</v>
      </c>
      <c r="D33" s="2" t="s">
        <v>93</v>
      </c>
      <c r="E33" s="2" t="s">
        <v>94</v>
      </c>
      <c r="F33" s="2">
        <v>1000</v>
      </c>
      <c r="G33" s="2"/>
    </row>
    <row r="34" ht="31" customHeight="1" spans="1:8">
      <c r="A34" s="2" t="s">
        <v>95</v>
      </c>
      <c r="B34" s="2" t="s">
        <v>93</v>
      </c>
      <c r="C34" s="13" t="s">
        <v>95</v>
      </c>
      <c r="D34" s="2" t="s">
        <v>93</v>
      </c>
      <c r="E34" s="2" t="s">
        <v>94</v>
      </c>
      <c r="F34" s="2">
        <v>40</v>
      </c>
      <c r="G34" s="2"/>
    </row>
    <row r="35" ht="31" customHeight="1" spans="1:8">
      <c r="A35" s="2" t="s">
        <v>96</v>
      </c>
      <c r="B35" s="2" t="s">
        <v>97</v>
      </c>
      <c r="C35" s="13" t="s">
        <v>96</v>
      </c>
      <c r="D35" s="2" t="s">
        <v>97</v>
      </c>
      <c r="E35" s="2" t="s">
        <v>98</v>
      </c>
      <c r="F35" s="2">
        <v>36</v>
      </c>
      <c r="G35" s="2"/>
    </row>
    <row r="36" ht="31" customHeight="1" spans="1:8">
      <c r="A36" s="2" t="s">
        <v>99</v>
      </c>
      <c r="B36" s="2" t="s">
        <v>100</v>
      </c>
      <c r="C36" s="13" t="s">
        <v>99</v>
      </c>
      <c r="D36" s="2" t="s">
        <v>100</v>
      </c>
      <c r="E36" s="2" t="s">
        <v>98</v>
      </c>
      <c r="F36" s="2">
        <v>8</v>
      </c>
      <c r="G36" s="2"/>
    </row>
    <row r="37" ht="31" customHeight="1" spans="1:8">
      <c r="A37" s="2" t="s">
        <v>99</v>
      </c>
      <c r="B37" s="2" t="s">
        <v>101</v>
      </c>
      <c r="C37" s="13" t="s">
        <v>99</v>
      </c>
      <c r="D37" s="2" t="s">
        <v>101</v>
      </c>
      <c r="E37" s="2" t="s">
        <v>98</v>
      </c>
      <c r="F37" s="2">
        <v>1</v>
      </c>
      <c r="G37" s="2"/>
    </row>
    <row r="38" ht="31" customHeight="1" spans="1:8">
      <c r="A38" s="2" t="s">
        <v>102</v>
      </c>
      <c r="B38" s="2" t="s">
        <v>103</v>
      </c>
      <c r="C38" s="13" t="s">
        <v>104</v>
      </c>
      <c r="D38" s="2"/>
      <c r="E38" s="2"/>
      <c r="F38" s="2">
        <v>25</v>
      </c>
      <c r="G38" s="2"/>
      <c r="H38" s="14" t="s">
        <v>105</v>
      </c>
    </row>
    <row r="39" ht="31" customHeight="1" spans="1:8">
      <c r="A39" s="2" t="s">
        <v>102</v>
      </c>
      <c r="B39" s="2" t="s">
        <v>106</v>
      </c>
      <c r="C39" s="13" t="s">
        <v>107</v>
      </c>
      <c r="D39" s="2"/>
      <c r="E39" s="2"/>
      <c r="F39" s="2">
        <v>25</v>
      </c>
      <c r="G39" s="2"/>
      <c r="H39" s="15"/>
    </row>
    <row r="40" ht="31" customHeight="1" spans="1:8">
      <c r="A40" s="2" t="s">
        <v>108</v>
      </c>
      <c r="B40" s="2" t="s">
        <v>109</v>
      </c>
      <c r="C40" s="6" t="s">
        <v>110</v>
      </c>
      <c r="D40" s="2"/>
      <c r="E40" s="2"/>
      <c r="F40" s="2">
        <v>128</v>
      </c>
      <c r="G40" s="2"/>
      <c r="H40" s="16"/>
    </row>
    <row r="41" ht="31" customHeight="1" spans="1:8">
      <c r="A41" s="2" t="s">
        <v>38</v>
      </c>
      <c r="B41" s="2"/>
      <c r="C41" s="6" t="s">
        <v>111</v>
      </c>
      <c r="D41" s="2"/>
      <c r="E41" s="2"/>
      <c r="F41" s="2">
        <v>1</v>
      </c>
      <c r="G41" s="2"/>
    </row>
  </sheetData>
  <mergeCells count="6">
    <mergeCell ref="A2:G2"/>
    <mergeCell ref="B4:G4"/>
    <mergeCell ref="B12:G12"/>
    <mergeCell ref="A14:G14"/>
    <mergeCell ref="B19:G19"/>
    <mergeCell ref="H38:H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ComponentOne</Company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控制系统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X1368</cp:lastModifiedBy>
  <dcterms:created xsi:type="dcterms:W3CDTF">2025-08-16T05:49:00Z</dcterms:created>
  <dcterms:modified xsi:type="dcterms:W3CDTF">2025-11-17T07:48:52Z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5BE391E68AF947A2AA38DB6B0DBE92EE_13</vt:lpwstr>
  </property>
  <property fmtid="{D5CDD505-2E9C-101B-9397-08002B2CF9AE}" pid="3" name="KSOProductBuildVer">
    <vt:lpwstr>2052-12.1.0.23542</vt:lpwstr>
  </property>
</Properties>
</file>