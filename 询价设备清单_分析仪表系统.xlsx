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wk-sh\Downloads\"/>
    </mc:Choice>
  </mc:AlternateContent>
  <xr:revisionPtr revIDLastSave="0" documentId="13_ncr:1_{F53AF8D1-820A-421F-9D38-0752FC486589}" xr6:coauthVersionLast="47" xr6:coauthVersionMax="47" xr10:uidLastSave="{00000000-0000-0000-0000-000000000000}"/>
  <bookViews>
    <workbookView xWindow="-110" yWindow="-110" windowWidth="19420" windowHeight="10420" xr2:uid="{00000000-000D-0000-FFFF-FFFF00000000}"/>
  </bookViews>
  <sheets>
    <sheet name="询价设备清单" sheetId="1" r:id="rId1"/>
    <sheet name="CEMS子项拆分" sheetId="2" r:id="rId2"/>
    <sheet name="填写说明" sheetId="3" r:id="rId3"/>
  </sheets>
  <definedNames>
    <definedName name="_xlnm._FilterDatabase" localSheetId="1" hidden="1">CEMS子项拆分!$A$1:$G$29</definedName>
    <definedName name="_xlnm._FilterDatabase" localSheetId="0" hidden="1">询价设备清单!$A$4:$Q$15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4" i="1" l="1"/>
  <c r="Q13" i="1"/>
  <c r="Q12" i="1"/>
  <c r="Q11" i="1"/>
  <c r="Q10" i="1"/>
  <c r="Q9" i="1"/>
  <c r="Q8" i="1"/>
  <c r="Q15" i="1" s="1"/>
  <c r="Q7" i="1"/>
  <c r="Q6" i="1"/>
  <c r="Q5" i="1"/>
</calcChain>
</file>

<file path=xl/sharedStrings.xml><?xml version="1.0" encoding="utf-8"?>
<sst xmlns="http://schemas.openxmlformats.org/spreadsheetml/2006/main" count="254" uniqueCount="122">
  <si>
    <t>分析仪表系统询价设备清单（Excel字段格式）</t>
  </si>
  <si>
    <t>项目：首钢京唐钢铁联合有限责任公司新建高效煤气发电机组项目；标段：分析仪表系统；标段编号：YL2025LZ006-NPB-047；交货期：2026-07-31</t>
  </si>
  <si>
    <t>序号</t>
  </si>
  <si>
    <t>设备类别</t>
  </si>
  <si>
    <t>设备名称</t>
  </si>
  <si>
    <t>用途/安装点</t>
  </si>
  <si>
    <t>规格型号/型式</t>
  </si>
  <si>
    <t>主要技术参数</t>
  </si>
  <si>
    <t>单位</t>
  </si>
  <si>
    <t>数量</t>
  </si>
  <si>
    <t>推荐品牌/同等</t>
  </si>
  <si>
    <t>制造商/报价品牌</t>
  </si>
  <si>
    <t>含供货范围</t>
  </si>
  <si>
    <t>交货地点</t>
  </si>
  <si>
    <t>要求交货期</t>
  </si>
  <si>
    <t>质保期</t>
  </si>
  <si>
    <t>备注</t>
  </si>
  <si>
    <t>询价单价(含税)</t>
  </si>
  <si>
    <t>税率</t>
  </si>
  <si>
    <t>合价(含税)</t>
  </si>
  <si>
    <t>分析仪表</t>
  </si>
  <si>
    <t>直插式氧化锆氧量分析仪检测器</t>
  </si>
  <si>
    <t>锅炉本体烟道左右两侧氧含量检测</t>
  </si>
  <si>
    <t>直插式氧化锆</t>
  </si>
  <si>
    <t>量程0~25%O2；响应&lt;5s；探头316L；探头长度1500mm；4~20mA；220VAC；带加热器、热电偶、反法兰</t>
  </si>
  <si>
    <t>套</t>
  </si>
  <si>
    <t>ABB/西门子/仕富梅/梅特勒托利多</t>
  </si>
  <si>
    <t>主机+安装附件+配对法兰/反法兰+位号标签</t>
  </si>
  <si>
    <t>2026-07-31</t>
  </si>
  <si>
    <t>12个月</t>
  </si>
  <si>
    <t>CO在线分析仪（煤加前）</t>
  </si>
  <si>
    <t>煤加前一氧化碳含量检测</t>
  </si>
  <si>
    <t>原位激光对穿式/TDLAS</t>
  </si>
  <si>
    <t>量程0~100ppm（测量范围可调CO:0~1%）；±1%FS；自动反吹；3路继电器；防爆；IP65/IP66；220VAC/24VDC</t>
  </si>
  <si>
    <t>NEO/ABB/西门子/仕富梅/梅特勒托利多</t>
  </si>
  <si>
    <t>主机+吹扫单元+防爆保护箱+配对法兰+反吹附件</t>
  </si>
  <si>
    <t>量程建议澄清</t>
  </si>
  <si>
    <t>CO在线分析仪（煤加后）</t>
  </si>
  <si>
    <t>煤加后一氧化碳含量检测</t>
  </si>
  <si>
    <t>主机+吹扫单元+配对法兰+反吹附件</t>
  </si>
  <si>
    <t>CEMS系统</t>
  </si>
  <si>
    <t>脱硝入口CEMS分析系统</t>
  </si>
  <si>
    <t>脱硝入口烟气连续监测</t>
  </si>
  <si>
    <t>抽取式CEMS</t>
  </si>
  <si>
    <t>含温压流、粉尘、湿度、SO2、NOx、O2；系统含除尘除氨除湿预处理</t>
  </si>
  <si>
    <t>中节能天融/美国热电/广州怡文</t>
  </si>
  <si>
    <t>整套供货，含工控单元/集线箱/内部电缆/安装附件</t>
  </si>
  <si>
    <t>脱硫入口CEMS分析系统</t>
  </si>
  <si>
    <t>脱硫入口烟气连续监测</t>
  </si>
  <si>
    <t>烟囱45m平台CEMS分析系统（含CO）</t>
  </si>
  <si>
    <t>烟囱排口连续监测</t>
  </si>
  <si>
    <t>含温压流、粉尘、湿度、SO2、NOx、O2、CO；CO为单独NDIR分析仪，与CEMS同品牌并共用取样预处理系统</t>
  </si>
  <si>
    <t>整套供货，含工控单元/集线箱/数据传输/环保上传接口/安装附件</t>
  </si>
  <si>
    <t>UPS/双电源切换装置清单数量为0，建议确认</t>
  </si>
  <si>
    <t>氨逃逸在线分析仪（脱硝出口）</t>
  </si>
  <si>
    <t>脱硝出口氨逃逸检测</t>
  </si>
  <si>
    <t>原位激光对穿式</t>
  </si>
  <si>
    <t>量程0~7.5mg/m3；精度≤±1%；响应&lt;60s；4~20mA；24VDC；吹扫气0.3~0.8MPa</t>
  </si>
  <si>
    <t>NEO/西门子/ABB/中科天融</t>
  </si>
  <si>
    <t>主机+探头+系统控制+数据采集+吹扫附件</t>
  </si>
  <si>
    <t>氨逃逸在线分析仪（烟囱）</t>
  </si>
  <si>
    <t>烟囱氨逃逸检测</t>
  </si>
  <si>
    <t>抽取式</t>
  </si>
  <si>
    <t>量程0~5mg/m3；精度≤±1%；响应&lt;60s；4~20mA；24VDC；具备在线标定功能</t>
  </si>
  <si>
    <t>主机+取样预处理+控制单元+吹扫附件</t>
  </si>
  <si>
    <t>安装方式文字存在差异，建议确认</t>
  </si>
  <si>
    <t>热值分析</t>
  </si>
  <si>
    <t>焦炉煤气热值分析仪</t>
  </si>
  <si>
    <t>焦炉煤气热值在线分析</t>
  </si>
  <si>
    <t>燃烧法</t>
  </si>
  <si>
    <t>量程0~20000kJ/m3；精度±1.5%；4~20mA；更新≤2s；自动点火；带预处理；附1套滤芯及标气</t>
  </si>
  <si>
    <t>西门子/ABB/上海中冶横天/德国尤尼</t>
  </si>
  <si>
    <t>主机+预处理+风机+标气+滤芯+安装附件</t>
  </si>
  <si>
    <t>高炉煤气热值分析仪</t>
  </si>
  <si>
    <t>高炉煤气热值在线分析</t>
  </si>
  <si>
    <t>量程0~5000kJ/m3；精度±1.5%；4~20mA；更新≤2s；自动点火；带预处理；预处理前设水洗过滤器；附1套滤芯及标气</t>
  </si>
  <si>
    <t>主机+预处理+水洗过滤器+风机+标气+滤芯+安装附件</t>
  </si>
  <si>
    <t>合计</t>
  </si>
  <si>
    <t>系统名称</t>
  </si>
  <si>
    <t>子项</t>
  </si>
  <si>
    <t>规格/量程</t>
  </si>
  <si>
    <t>品牌/厂家</t>
  </si>
  <si>
    <t>脱硝入口CEMS</t>
  </si>
  <si>
    <t>温压流变送器</t>
  </si>
  <si>
    <t>压力-5~+5KPa；流速0~40m/s；温度0~600°C</t>
  </si>
  <si>
    <t>抽取式超低粉尘仪</t>
  </si>
  <si>
    <t>0~20mg/m3</t>
  </si>
  <si>
    <t>台</t>
  </si>
  <si>
    <t>湿度仪</t>
  </si>
  <si>
    <t>0~40%</t>
  </si>
  <si>
    <t>SO2分析仪</t>
  </si>
  <si>
    <t>0~300mg/Nm3；非分散紫外</t>
  </si>
  <si>
    <t>NOx分析仪</t>
  </si>
  <si>
    <t>O2分析仪</t>
  </si>
  <si>
    <t>0~25%</t>
  </si>
  <si>
    <t>工控单元</t>
  </si>
  <si>
    <t>集线箱</t>
  </si>
  <si>
    <t>数据采集传输仪</t>
  </si>
  <si>
    <t>脱硫入口CEMS</t>
  </si>
  <si>
    <t>压力-10~+5KPa；流速0~40m/s；温度0~300°C</t>
  </si>
  <si>
    <t>烟囱45m平台CEMS</t>
  </si>
  <si>
    <t>压力-2~+2KPa；流速0~40m/s；温度0~200°C</t>
  </si>
  <si>
    <t>0~10mg/m3</t>
  </si>
  <si>
    <t>0~70mg/Nm3</t>
  </si>
  <si>
    <t>0~60mg/Nm3</t>
  </si>
  <si>
    <t>CO分析仪</t>
  </si>
  <si>
    <t>0-500-1000ppm；NDIR；与CEMS同品牌</t>
  </si>
  <si>
    <t>字段</t>
  </si>
  <si>
    <t>说明</t>
  </si>
  <si>
    <t>供应商填写，主表合价自动按 数量×单价 计算</t>
  </si>
  <si>
    <t>可默认13%，如供应商适用税率不同可调整</t>
  </si>
  <si>
    <t>填写实际报价品牌或厂家名称</t>
  </si>
  <si>
    <t>已按招标文件预填：河北省唐山市曹妃甸区京唐公司高效煤气发电项目现场或买方指定地点</t>
  </si>
  <si>
    <t>交货期</t>
  </si>
  <si>
    <t>已按招标文件预填：2026-07-31</t>
  </si>
  <si>
    <t>主表按招标文件填写为12个月；技术规格书中另提设备质保期2年，建议投标前统一口径</t>
  </si>
  <si>
    <t>重点澄清1</t>
  </si>
  <si>
    <t>CO在线分析仪同时出现0~100ppm及可调0~1%表述，建议确认最终量程</t>
  </si>
  <si>
    <t>重点澄清2</t>
  </si>
  <si>
    <t>烟囱CEMS中UPS 10KVA 60min、双电源切换装置数量为0，建议确认是否纳入供货</t>
  </si>
  <si>
    <t>重点澄清3</t>
  </si>
  <si>
    <t>烟囱氨逃逸分析仪在文本中出现抽取式与原位对穿安装表述差异，建议确认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</si>
</sst>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4"/>
      <name val="宋体"/>
      <family val="3"/>
      <charset val="134"/>
    </font>
    <font>
      <b/>
      <sz val="11"/>
      <color rgb="FFFFFFFF"/>
      <name val="宋体"/>
      <family val="3"/>
      <charset val="134"/>
    </font>
    <font>
      <b/>
      <sz val="11"/>
      <name val="宋体"/>
      <family val="3"/>
      <charset val="134"/>
    </font>
    <font>
      <sz val="9"/>
      <name val="宋体"/>
      <family val="3"/>
      <charset val="134"/>
      <scheme val="minor"/>
    </font>
  </fonts>
  <fills count="4">
    <fill>
      <patternFill patternType="none"/>
    </fill>
    <fill>
      <patternFill patternType="gray125"/>
    </fill>
    <fill>
      <patternFill patternType="solid">
        <fgColor rgb="FF1F4E78"/>
      </patternFill>
    </fill>
    <fill>
      <patternFill patternType="solid">
        <fgColor rgb="FFD9EAF7"/>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vertical="top" wrapText="1"/>
    </xf>
    <xf numFmtId="2" fontId="0" fillId="0" borderId="1" xfId="0" applyNumberFormat="1" applyBorder="1" applyAlignment="1">
      <alignment vertical="top" wrapText="1"/>
    </xf>
    <xf numFmtId="0" fontId="3" fillId="3" borderId="1" xfId="0" applyFont="1" applyFill="1" applyBorder="1"/>
    <xf numFmtId="0" fontId="0" fillId="0" borderId="1" xfId="0" applyBorder="1"/>
    <xf numFmtId="2" fontId="0" fillId="0" borderId="1" xfId="0" applyNumberFormat="1" applyBorder="1"/>
    <xf numFmtId="0" fontId="0" fillId="0" borderId="0" xfId="0" applyAlignment="1">
      <alignment horizontal="left" vertical="center"/>
    </xf>
    <xf numFmtId="0" fontId="0" fillId="0" borderId="0" xfId="0"/>
    <xf numFmtId="0" fontId="1" fillId="0" borderId="0" xfId="0" applyFont="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
  <sheetViews>
    <sheetView tabSelected="1" topLeftCell="H1" workbookViewId="0">
      <pane ySplit="4" topLeftCell="A5" activePane="bottomLeft" state="frozen"/>
      <selection pane="bottomLeft" activeCell="Q9" sqref="Q9"/>
    </sheetView>
  </sheetViews>
  <sheetFormatPr defaultRowHeight="14" x14ac:dyDescent="0.25"/>
  <cols>
    <col min="1" max="1" width="8" customWidth="1"/>
    <col min="2" max="2" width="12" customWidth="1"/>
    <col min="3" max="3" width="28" customWidth="1"/>
    <col min="4" max="4" width="22" customWidth="1"/>
    <col min="5" max="5" width="20" customWidth="1"/>
    <col min="6" max="6" width="52" customWidth="1"/>
    <col min="7" max="8" width="8" customWidth="1"/>
    <col min="9" max="9" width="22" customWidth="1"/>
    <col min="10" max="10" width="18" customWidth="1"/>
    <col min="11" max="11" width="28" customWidth="1"/>
    <col min="12" max="12" width="14" customWidth="1"/>
    <col min="13" max="13" width="10" customWidth="1"/>
    <col min="14" max="14" width="22" customWidth="1"/>
    <col min="15" max="15" width="14" customWidth="1"/>
    <col min="16" max="16" width="8" customWidth="1"/>
    <col min="17" max="17" width="14" customWidth="1"/>
  </cols>
  <sheetData>
    <row r="1" spans="1:17" x14ac:dyDescent="0.25">
      <c r="A1" s="9" t="s">
        <v>0</v>
      </c>
      <c r="B1" s="8"/>
      <c r="C1" s="8"/>
      <c r="D1" s="8"/>
      <c r="E1" s="8"/>
      <c r="F1" s="8"/>
      <c r="G1" s="8"/>
      <c r="H1" s="8"/>
      <c r="I1" s="8"/>
      <c r="J1" s="8"/>
      <c r="K1" s="8"/>
      <c r="L1" s="8"/>
      <c r="M1" s="8"/>
      <c r="N1" s="8"/>
      <c r="O1" s="8"/>
      <c r="P1" s="8"/>
      <c r="Q1" s="8"/>
    </row>
    <row r="2" spans="1:17" x14ac:dyDescent="0.25">
      <c r="A2" s="7" t="s">
        <v>1</v>
      </c>
      <c r="B2" s="8"/>
      <c r="C2" s="8"/>
      <c r="D2" s="8"/>
      <c r="E2" s="8"/>
      <c r="F2" s="8"/>
      <c r="G2" s="8"/>
      <c r="H2" s="8"/>
      <c r="I2" s="8"/>
      <c r="J2" s="8"/>
      <c r="K2" s="8"/>
      <c r="L2" s="8"/>
      <c r="M2" s="8"/>
      <c r="N2" s="8"/>
      <c r="O2" s="8"/>
      <c r="P2" s="8"/>
      <c r="Q2" s="8"/>
    </row>
    <row r="4" spans="1:17" ht="28" x14ac:dyDescent="0.25">
      <c r="A4" s="1" t="s">
        <v>2</v>
      </c>
      <c r="B4" s="1" t="s">
        <v>3</v>
      </c>
      <c r="C4" s="1" t="s">
        <v>4</v>
      </c>
      <c r="D4" s="1" t="s">
        <v>5</v>
      </c>
      <c r="E4" s="1" t="s">
        <v>6</v>
      </c>
      <c r="F4" s="1" t="s">
        <v>7</v>
      </c>
      <c r="G4" s="1" t="s">
        <v>8</v>
      </c>
      <c r="H4" s="1" t="s">
        <v>9</v>
      </c>
      <c r="I4" s="1" t="s">
        <v>10</v>
      </c>
      <c r="J4" s="1" t="s">
        <v>11</v>
      </c>
      <c r="K4" s="1" t="s">
        <v>12</v>
      </c>
      <c r="L4" s="1" t="s">
        <v>14</v>
      </c>
      <c r="M4" s="1" t="s">
        <v>15</v>
      </c>
      <c r="N4" s="1" t="s">
        <v>16</v>
      </c>
      <c r="O4" s="1" t="s">
        <v>17</v>
      </c>
      <c r="P4" s="1" t="s">
        <v>18</v>
      </c>
      <c r="Q4" s="1" t="s">
        <v>19</v>
      </c>
    </row>
    <row r="5" spans="1:17" ht="28" x14ac:dyDescent="0.25">
      <c r="A5" s="2">
        <v>1</v>
      </c>
      <c r="B5" s="2" t="s">
        <v>20</v>
      </c>
      <c r="C5" s="2" t="s">
        <v>21</v>
      </c>
      <c r="D5" s="2" t="s">
        <v>22</v>
      </c>
      <c r="E5" s="2" t="s">
        <v>23</v>
      </c>
      <c r="F5" s="2" t="s">
        <v>24</v>
      </c>
      <c r="G5" s="2" t="s">
        <v>25</v>
      </c>
      <c r="H5" s="2">
        <v>2</v>
      </c>
      <c r="I5" s="2" t="s">
        <v>26</v>
      </c>
      <c r="J5" s="2"/>
      <c r="K5" s="2" t="s">
        <v>27</v>
      </c>
      <c r="L5" s="2" t="s">
        <v>28</v>
      </c>
      <c r="M5" s="2" t="s">
        <v>29</v>
      </c>
      <c r="N5" s="2"/>
      <c r="O5" s="3"/>
      <c r="P5" s="2"/>
      <c r="Q5" s="3" t="str">
        <f>IF(OR(O5="",H5=""),"",O5*H5)</f>
        <v/>
      </c>
    </row>
    <row r="6" spans="1:17" ht="28" x14ac:dyDescent="0.25">
      <c r="A6" s="2">
        <v>2</v>
      </c>
      <c r="B6" s="2" t="s">
        <v>20</v>
      </c>
      <c r="C6" s="2" t="s">
        <v>30</v>
      </c>
      <c r="D6" s="2" t="s">
        <v>31</v>
      </c>
      <c r="E6" s="2" t="s">
        <v>32</v>
      </c>
      <c r="F6" s="2" t="s">
        <v>33</v>
      </c>
      <c r="G6" s="2" t="s">
        <v>25</v>
      </c>
      <c r="H6" s="2">
        <v>1</v>
      </c>
      <c r="I6" s="2" t="s">
        <v>34</v>
      </c>
      <c r="J6" s="2"/>
      <c r="K6" s="2" t="s">
        <v>35</v>
      </c>
      <c r="L6" s="2" t="s">
        <v>28</v>
      </c>
      <c r="M6" s="2" t="s">
        <v>29</v>
      </c>
      <c r="N6" s="2" t="s">
        <v>36</v>
      </c>
      <c r="O6" s="3"/>
      <c r="P6" s="2"/>
      <c r="Q6" s="3" t="str">
        <f>IF(OR(O6="",H6=""),"",O6*H6)</f>
        <v/>
      </c>
    </row>
    <row r="7" spans="1:17" ht="28" x14ac:dyDescent="0.25">
      <c r="A7" s="2">
        <v>3</v>
      </c>
      <c r="B7" s="2" t="s">
        <v>20</v>
      </c>
      <c r="C7" s="2" t="s">
        <v>37</v>
      </c>
      <c r="D7" s="2" t="s">
        <v>38</v>
      </c>
      <c r="E7" s="2" t="s">
        <v>32</v>
      </c>
      <c r="F7" s="2" t="s">
        <v>33</v>
      </c>
      <c r="G7" s="2" t="s">
        <v>25</v>
      </c>
      <c r="H7" s="2">
        <v>1</v>
      </c>
      <c r="I7" s="2" t="s">
        <v>34</v>
      </c>
      <c r="J7" s="2"/>
      <c r="K7" s="2" t="s">
        <v>39</v>
      </c>
      <c r="L7" s="2" t="s">
        <v>28</v>
      </c>
      <c r="M7" s="2" t="s">
        <v>29</v>
      </c>
      <c r="N7" s="2" t="s">
        <v>36</v>
      </c>
      <c r="O7" s="3"/>
      <c r="P7" s="2"/>
      <c r="Q7" s="3" t="str">
        <f>IF(OR(O7="",H7=""),"",O7*H7)</f>
        <v/>
      </c>
    </row>
    <row r="8" spans="1:17" ht="28" x14ac:dyDescent="0.25">
      <c r="A8" s="2">
        <v>4</v>
      </c>
      <c r="B8" s="2" t="s">
        <v>40</v>
      </c>
      <c r="C8" s="2" t="s">
        <v>41</v>
      </c>
      <c r="D8" s="2" t="s">
        <v>42</v>
      </c>
      <c r="E8" s="2" t="s">
        <v>43</v>
      </c>
      <c r="F8" s="2" t="s">
        <v>44</v>
      </c>
      <c r="G8" s="2" t="s">
        <v>25</v>
      </c>
      <c r="H8" s="2">
        <v>1</v>
      </c>
      <c r="I8" s="2" t="s">
        <v>45</v>
      </c>
      <c r="J8" s="2"/>
      <c r="K8" s="2" t="s">
        <v>46</v>
      </c>
      <c r="L8" s="2" t="s">
        <v>28</v>
      </c>
      <c r="M8" s="2" t="s">
        <v>29</v>
      </c>
      <c r="N8" s="2"/>
      <c r="O8" s="3"/>
      <c r="P8" s="2"/>
      <c r="Q8" s="3" t="str">
        <f>IF(OR(O8="",H8=""),"",O8*H8)</f>
        <v/>
      </c>
    </row>
    <row r="9" spans="1:17" ht="28" x14ac:dyDescent="0.25">
      <c r="A9" s="2">
        <v>5</v>
      </c>
      <c r="B9" s="2" t="s">
        <v>40</v>
      </c>
      <c r="C9" s="2" t="s">
        <v>47</v>
      </c>
      <c r="D9" s="2" t="s">
        <v>48</v>
      </c>
      <c r="E9" s="2" t="s">
        <v>43</v>
      </c>
      <c r="F9" s="2" t="s">
        <v>44</v>
      </c>
      <c r="G9" s="2" t="s">
        <v>25</v>
      </c>
      <c r="H9" s="2">
        <v>1</v>
      </c>
      <c r="I9" s="2" t="s">
        <v>45</v>
      </c>
      <c r="J9" s="2"/>
      <c r="K9" s="2" t="s">
        <v>46</v>
      </c>
      <c r="L9" s="2" t="s">
        <v>28</v>
      </c>
      <c r="M9" s="2" t="s">
        <v>29</v>
      </c>
      <c r="N9" s="2"/>
      <c r="O9" s="3"/>
      <c r="P9" s="2"/>
      <c r="Q9" s="3" t="str">
        <f>IF(OR(O9="",H9=""),"",O9*H9)</f>
        <v/>
      </c>
    </row>
    <row r="10" spans="1:17" ht="42" x14ac:dyDescent="0.25">
      <c r="A10" s="2">
        <v>6</v>
      </c>
      <c r="B10" s="2" t="s">
        <v>40</v>
      </c>
      <c r="C10" s="2" t="s">
        <v>49</v>
      </c>
      <c r="D10" s="2" t="s">
        <v>50</v>
      </c>
      <c r="E10" s="2" t="s">
        <v>43</v>
      </c>
      <c r="F10" s="2" t="s">
        <v>51</v>
      </c>
      <c r="G10" s="2" t="s">
        <v>25</v>
      </c>
      <c r="H10" s="2">
        <v>1</v>
      </c>
      <c r="I10" s="2" t="s">
        <v>45</v>
      </c>
      <c r="J10" s="2"/>
      <c r="K10" s="2" t="s">
        <v>52</v>
      </c>
      <c r="L10" s="2" t="s">
        <v>28</v>
      </c>
      <c r="M10" s="2" t="s">
        <v>29</v>
      </c>
      <c r="N10" s="2" t="s">
        <v>53</v>
      </c>
      <c r="O10" s="3"/>
      <c r="P10" s="2"/>
      <c r="Q10" s="3" t="str">
        <f>IF(OR(O10="",H10=""),"",O10*H10)</f>
        <v/>
      </c>
    </row>
    <row r="11" spans="1:17" ht="28" x14ac:dyDescent="0.25">
      <c r="A11" s="2">
        <v>7</v>
      </c>
      <c r="B11" s="2" t="s">
        <v>20</v>
      </c>
      <c r="C11" s="2" t="s">
        <v>54</v>
      </c>
      <c r="D11" s="2" t="s">
        <v>55</v>
      </c>
      <c r="E11" s="2" t="s">
        <v>56</v>
      </c>
      <c r="F11" s="2" t="s">
        <v>57</v>
      </c>
      <c r="G11" s="2" t="s">
        <v>25</v>
      </c>
      <c r="H11" s="2">
        <v>1</v>
      </c>
      <c r="I11" s="2" t="s">
        <v>58</v>
      </c>
      <c r="J11" s="2"/>
      <c r="K11" s="2" t="s">
        <v>59</v>
      </c>
      <c r="L11" s="2" t="s">
        <v>28</v>
      </c>
      <c r="M11" s="2" t="s">
        <v>29</v>
      </c>
      <c r="N11" s="2"/>
      <c r="O11" s="3"/>
      <c r="P11" s="2"/>
      <c r="Q11" s="3" t="str">
        <f>IF(OR(O11="",H11=""),"",O11*H11)</f>
        <v/>
      </c>
    </row>
    <row r="12" spans="1:17" ht="28" x14ac:dyDescent="0.25">
      <c r="A12" s="2">
        <v>8</v>
      </c>
      <c r="B12" s="2" t="s">
        <v>20</v>
      </c>
      <c r="C12" s="2" t="s">
        <v>60</v>
      </c>
      <c r="D12" s="2" t="s">
        <v>61</v>
      </c>
      <c r="E12" s="2" t="s">
        <v>62</v>
      </c>
      <c r="F12" s="2" t="s">
        <v>63</v>
      </c>
      <c r="G12" s="2" t="s">
        <v>25</v>
      </c>
      <c r="H12" s="2">
        <v>1</v>
      </c>
      <c r="I12" s="2" t="s">
        <v>58</v>
      </c>
      <c r="J12" s="2"/>
      <c r="K12" s="2" t="s">
        <v>64</v>
      </c>
      <c r="L12" s="2" t="s">
        <v>28</v>
      </c>
      <c r="M12" s="2" t="s">
        <v>29</v>
      </c>
      <c r="N12" s="2" t="s">
        <v>65</v>
      </c>
      <c r="O12" s="3"/>
      <c r="P12" s="2"/>
      <c r="Q12" s="3" t="str">
        <f>IF(OR(O12="",H12=""),"",O12*H12)</f>
        <v/>
      </c>
    </row>
    <row r="13" spans="1:17" ht="28" x14ac:dyDescent="0.25">
      <c r="A13" s="2">
        <v>9</v>
      </c>
      <c r="B13" s="2" t="s">
        <v>66</v>
      </c>
      <c r="C13" s="2" t="s">
        <v>67</v>
      </c>
      <c r="D13" s="2" t="s">
        <v>68</v>
      </c>
      <c r="E13" s="2" t="s">
        <v>69</v>
      </c>
      <c r="F13" s="2" t="s">
        <v>70</v>
      </c>
      <c r="G13" s="2" t="s">
        <v>25</v>
      </c>
      <c r="H13" s="2">
        <v>1</v>
      </c>
      <c r="I13" s="2" t="s">
        <v>71</v>
      </c>
      <c r="J13" s="2"/>
      <c r="K13" s="2" t="s">
        <v>72</v>
      </c>
      <c r="L13" s="2" t="s">
        <v>28</v>
      </c>
      <c r="M13" s="2" t="s">
        <v>29</v>
      </c>
      <c r="N13" s="2"/>
      <c r="O13" s="3"/>
      <c r="P13" s="2"/>
      <c r="Q13" s="3" t="str">
        <f>IF(OR(O13="",H13=""),"",O13*H13)</f>
        <v/>
      </c>
    </row>
    <row r="14" spans="1:17" ht="42" x14ac:dyDescent="0.25">
      <c r="A14" s="2">
        <v>10</v>
      </c>
      <c r="B14" s="2" t="s">
        <v>66</v>
      </c>
      <c r="C14" s="2" t="s">
        <v>73</v>
      </c>
      <c r="D14" s="2" t="s">
        <v>74</v>
      </c>
      <c r="E14" s="2" t="s">
        <v>69</v>
      </c>
      <c r="F14" s="2" t="s">
        <v>75</v>
      </c>
      <c r="G14" s="2" t="s">
        <v>25</v>
      </c>
      <c r="H14" s="2">
        <v>1</v>
      </c>
      <c r="I14" s="2" t="s">
        <v>71</v>
      </c>
      <c r="J14" s="2"/>
      <c r="K14" s="2" t="s">
        <v>76</v>
      </c>
      <c r="L14" s="2" t="s">
        <v>28</v>
      </c>
      <c r="M14" s="2" t="s">
        <v>29</v>
      </c>
      <c r="N14" s="2"/>
      <c r="O14" s="3"/>
      <c r="P14" s="2"/>
      <c r="Q14" s="3" t="str">
        <f>IF(OR(O14="",H14=""),"",O14*H14)</f>
        <v/>
      </c>
    </row>
    <row r="15" spans="1:17" x14ac:dyDescent="0.25">
      <c r="A15" s="4" t="s">
        <v>77</v>
      </c>
      <c r="B15" s="5"/>
      <c r="C15" s="5"/>
      <c r="D15" s="5"/>
      <c r="E15" s="5"/>
      <c r="F15" s="5"/>
      <c r="G15" s="5"/>
      <c r="H15" s="5"/>
      <c r="I15" s="5"/>
      <c r="J15" s="5"/>
      <c r="K15" s="5"/>
      <c r="L15" s="5"/>
      <c r="M15" s="5"/>
      <c r="N15" s="5"/>
      <c r="O15" s="5"/>
      <c r="P15" s="5"/>
      <c r="Q15" s="6">
        <f>SUM(Q5:Q14)</f>
        <v>0</v>
      </c>
    </row>
  </sheetData>
  <autoFilter ref="A4:Q15" xr:uid="{00000000-0009-0000-0000-000000000000}"/>
  <mergeCells count="2">
    <mergeCell ref="A2:Q2"/>
    <mergeCell ref="A1:Q1"/>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
  <sheetViews>
    <sheetView workbookViewId="0">
      <pane ySplit="1" topLeftCell="A10" activePane="bottomLeft" state="frozen"/>
      <selection pane="bottomLeft" activeCell="C26" sqref="C26"/>
    </sheetView>
  </sheetViews>
  <sheetFormatPr defaultRowHeight="14" x14ac:dyDescent="0.25"/>
  <cols>
    <col min="1" max="1" width="22" customWidth="1"/>
    <col min="2" max="2" width="20" customWidth="1"/>
    <col min="3" max="3" width="38" customWidth="1"/>
    <col min="4" max="5" width="8" customWidth="1"/>
    <col min="6" max="7" width="18" customWidth="1"/>
  </cols>
  <sheetData>
    <row r="1" spans="1:7" x14ac:dyDescent="0.25">
      <c r="A1" s="1" t="s">
        <v>78</v>
      </c>
      <c r="B1" s="1" t="s">
        <v>79</v>
      </c>
      <c r="C1" s="1" t="s">
        <v>80</v>
      </c>
      <c r="D1" s="1" t="s">
        <v>8</v>
      </c>
      <c r="E1" s="1" t="s">
        <v>9</v>
      </c>
      <c r="F1" s="1" t="s">
        <v>81</v>
      </c>
      <c r="G1" s="1" t="s">
        <v>16</v>
      </c>
    </row>
    <row r="2" spans="1:7" ht="28" x14ac:dyDescent="0.25">
      <c r="A2" s="2" t="s">
        <v>82</v>
      </c>
      <c r="B2" s="2" t="s">
        <v>83</v>
      </c>
      <c r="C2" s="2" t="s">
        <v>84</v>
      </c>
      <c r="D2" s="2" t="s">
        <v>25</v>
      </c>
      <c r="E2" s="2">
        <v>1</v>
      </c>
      <c r="F2" s="2"/>
      <c r="G2" s="2"/>
    </row>
    <row r="3" spans="1:7" x14ac:dyDescent="0.25">
      <c r="A3" s="2" t="s">
        <v>82</v>
      </c>
      <c r="B3" s="2" t="s">
        <v>85</v>
      </c>
      <c r="C3" s="2" t="s">
        <v>86</v>
      </c>
      <c r="D3" s="2" t="s">
        <v>87</v>
      </c>
      <c r="E3" s="2">
        <v>1</v>
      </c>
      <c r="F3" s="2"/>
      <c r="G3" s="2"/>
    </row>
    <row r="4" spans="1:7" x14ac:dyDescent="0.25">
      <c r="A4" s="2" t="s">
        <v>82</v>
      </c>
      <c r="B4" s="2" t="s">
        <v>88</v>
      </c>
      <c r="C4" s="2" t="s">
        <v>89</v>
      </c>
      <c r="D4" s="2" t="s">
        <v>87</v>
      </c>
      <c r="E4" s="2">
        <v>1</v>
      </c>
      <c r="F4" s="2"/>
      <c r="G4" s="2"/>
    </row>
    <row r="5" spans="1:7" x14ac:dyDescent="0.25">
      <c r="A5" s="2" t="s">
        <v>82</v>
      </c>
      <c r="B5" s="2" t="s">
        <v>90</v>
      </c>
      <c r="C5" s="2" t="s">
        <v>91</v>
      </c>
      <c r="D5" s="2" t="s">
        <v>87</v>
      </c>
      <c r="E5" s="2">
        <v>1</v>
      </c>
      <c r="F5" s="2"/>
      <c r="G5" s="2"/>
    </row>
    <row r="6" spans="1:7" x14ac:dyDescent="0.25">
      <c r="A6" s="2" t="s">
        <v>82</v>
      </c>
      <c r="B6" s="2" t="s">
        <v>92</v>
      </c>
      <c r="C6" s="2" t="s">
        <v>91</v>
      </c>
      <c r="D6" s="2" t="s">
        <v>87</v>
      </c>
      <c r="E6" s="2">
        <v>1</v>
      </c>
      <c r="F6" s="2"/>
      <c r="G6" s="2"/>
    </row>
    <row r="7" spans="1:7" x14ac:dyDescent="0.25">
      <c r="A7" s="2" t="s">
        <v>82</v>
      </c>
      <c r="B7" s="2" t="s">
        <v>93</v>
      </c>
      <c r="C7" s="2" t="s">
        <v>94</v>
      </c>
      <c r="D7" s="2" t="s">
        <v>87</v>
      </c>
      <c r="E7" s="2">
        <v>1</v>
      </c>
      <c r="F7" s="2"/>
      <c r="G7" s="2"/>
    </row>
    <row r="8" spans="1:7" x14ac:dyDescent="0.25">
      <c r="A8" s="2" t="s">
        <v>82</v>
      </c>
      <c r="B8" s="2" t="s">
        <v>95</v>
      </c>
      <c r="C8" s="2"/>
      <c r="D8" s="2" t="s">
        <v>87</v>
      </c>
      <c r="E8" s="2">
        <v>1</v>
      </c>
      <c r="F8" s="2"/>
      <c r="G8" s="2"/>
    </row>
    <row r="9" spans="1:7" x14ac:dyDescent="0.25">
      <c r="A9" s="2" t="s">
        <v>82</v>
      </c>
      <c r="B9" s="2" t="s">
        <v>96</v>
      </c>
      <c r="C9" s="2"/>
      <c r="D9" s="2" t="s">
        <v>87</v>
      </c>
      <c r="E9" s="2">
        <v>1</v>
      </c>
      <c r="F9" s="2"/>
      <c r="G9" s="2"/>
    </row>
    <row r="10" spans="1:7" x14ac:dyDescent="0.25">
      <c r="A10" s="2" t="s">
        <v>82</v>
      </c>
      <c r="B10" s="2" t="s">
        <v>97</v>
      </c>
      <c r="C10" s="2"/>
      <c r="D10" s="2" t="s">
        <v>87</v>
      </c>
      <c r="E10" s="2">
        <v>1</v>
      </c>
      <c r="F10" s="2"/>
      <c r="G10" s="2"/>
    </row>
    <row r="11" spans="1:7" ht="28" x14ac:dyDescent="0.25">
      <c r="A11" s="2" t="s">
        <v>98</v>
      </c>
      <c r="B11" s="2" t="s">
        <v>83</v>
      </c>
      <c r="C11" s="2" t="s">
        <v>99</v>
      </c>
      <c r="D11" s="2" t="s">
        <v>25</v>
      </c>
      <c r="E11" s="2">
        <v>1</v>
      </c>
      <c r="F11" s="2"/>
      <c r="G11" s="2"/>
    </row>
    <row r="12" spans="1:7" x14ac:dyDescent="0.25">
      <c r="A12" s="2" t="s">
        <v>98</v>
      </c>
      <c r="B12" s="2" t="s">
        <v>85</v>
      </c>
      <c r="C12" s="2" t="s">
        <v>86</v>
      </c>
      <c r="D12" s="2" t="s">
        <v>87</v>
      </c>
      <c r="E12" s="2">
        <v>1</v>
      </c>
      <c r="F12" s="2"/>
      <c r="G12" s="2"/>
    </row>
    <row r="13" spans="1:7" x14ac:dyDescent="0.25">
      <c r="A13" s="2" t="s">
        <v>98</v>
      </c>
      <c r="B13" s="2" t="s">
        <v>88</v>
      </c>
      <c r="C13" s="2" t="s">
        <v>89</v>
      </c>
      <c r="D13" s="2" t="s">
        <v>87</v>
      </c>
      <c r="E13" s="2">
        <v>1</v>
      </c>
      <c r="F13" s="2"/>
      <c r="G13" s="2"/>
    </row>
    <row r="14" spans="1:7" x14ac:dyDescent="0.25">
      <c r="A14" s="2" t="s">
        <v>98</v>
      </c>
      <c r="B14" s="2" t="s">
        <v>90</v>
      </c>
      <c r="C14" s="2" t="s">
        <v>91</v>
      </c>
      <c r="D14" s="2" t="s">
        <v>87</v>
      </c>
      <c r="E14" s="2">
        <v>1</v>
      </c>
      <c r="F14" s="2"/>
      <c r="G14" s="2"/>
    </row>
    <row r="15" spans="1:7" x14ac:dyDescent="0.25">
      <c r="A15" s="2" t="s">
        <v>98</v>
      </c>
      <c r="B15" s="2" t="s">
        <v>92</v>
      </c>
      <c r="C15" s="2" t="s">
        <v>91</v>
      </c>
      <c r="D15" s="2" t="s">
        <v>87</v>
      </c>
      <c r="E15" s="2">
        <v>1</v>
      </c>
      <c r="F15" s="2"/>
      <c r="G15" s="2"/>
    </row>
    <row r="16" spans="1:7" x14ac:dyDescent="0.25">
      <c r="A16" s="2" t="s">
        <v>98</v>
      </c>
      <c r="B16" s="2" t="s">
        <v>93</v>
      </c>
      <c r="C16" s="2" t="s">
        <v>94</v>
      </c>
      <c r="D16" s="2" t="s">
        <v>87</v>
      </c>
      <c r="E16" s="2">
        <v>1</v>
      </c>
      <c r="F16" s="2"/>
      <c r="G16" s="2"/>
    </row>
    <row r="17" spans="1:7" x14ac:dyDescent="0.25">
      <c r="A17" s="2" t="s">
        <v>98</v>
      </c>
      <c r="B17" s="2" t="s">
        <v>95</v>
      </c>
      <c r="C17" s="2"/>
      <c r="D17" s="2" t="s">
        <v>87</v>
      </c>
      <c r="E17" s="2">
        <v>1</v>
      </c>
      <c r="F17" s="2"/>
      <c r="G17" s="2"/>
    </row>
    <row r="18" spans="1:7" x14ac:dyDescent="0.25">
      <c r="A18" s="2" t="s">
        <v>98</v>
      </c>
      <c r="B18" s="2" t="s">
        <v>96</v>
      </c>
      <c r="C18" s="2"/>
      <c r="D18" s="2" t="s">
        <v>87</v>
      </c>
      <c r="E18" s="2">
        <v>1</v>
      </c>
      <c r="F18" s="2"/>
      <c r="G18" s="2"/>
    </row>
    <row r="19" spans="1:7" x14ac:dyDescent="0.25">
      <c r="A19" s="2" t="s">
        <v>98</v>
      </c>
      <c r="B19" s="2" t="s">
        <v>97</v>
      </c>
      <c r="C19" s="2"/>
      <c r="D19" s="2" t="s">
        <v>87</v>
      </c>
      <c r="E19" s="2">
        <v>1</v>
      </c>
      <c r="F19" s="2"/>
      <c r="G19" s="2"/>
    </row>
    <row r="20" spans="1:7" ht="28" x14ac:dyDescent="0.25">
      <c r="A20" s="2" t="s">
        <v>100</v>
      </c>
      <c r="B20" s="2" t="s">
        <v>83</v>
      </c>
      <c r="C20" s="2" t="s">
        <v>101</v>
      </c>
      <c r="D20" s="2" t="s">
        <v>25</v>
      </c>
      <c r="E20" s="2">
        <v>1</v>
      </c>
      <c r="F20" s="2"/>
      <c r="G20" s="2"/>
    </row>
    <row r="21" spans="1:7" x14ac:dyDescent="0.25">
      <c r="A21" s="2" t="s">
        <v>100</v>
      </c>
      <c r="B21" s="2" t="s">
        <v>85</v>
      </c>
      <c r="C21" s="2" t="s">
        <v>102</v>
      </c>
      <c r="D21" s="2" t="s">
        <v>87</v>
      </c>
      <c r="E21" s="2">
        <v>1</v>
      </c>
      <c r="F21" s="2"/>
      <c r="G21" s="2"/>
    </row>
    <row r="22" spans="1:7" x14ac:dyDescent="0.25">
      <c r="A22" s="2" t="s">
        <v>100</v>
      </c>
      <c r="B22" s="2" t="s">
        <v>88</v>
      </c>
      <c r="C22" s="2" t="s">
        <v>89</v>
      </c>
      <c r="D22" s="2" t="s">
        <v>87</v>
      </c>
      <c r="E22" s="2">
        <v>1</v>
      </c>
      <c r="F22" s="2"/>
      <c r="G22" s="2"/>
    </row>
    <row r="23" spans="1:7" x14ac:dyDescent="0.25">
      <c r="A23" s="2" t="s">
        <v>100</v>
      </c>
      <c r="B23" s="2" t="s">
        <v>90</v>
      </c>
      <c r="C23" s="2" t="s">
        <v>103</v>
      </c>
      <c r="D23" s="2" t="s">
        <v>87</v>
      </c>
      <c r="E23" s="2">
        <v>1</v>
      </c>
      <c r="F23" s="2"/>
      <c r="G23" s="2"/>
    </row>
    <row r="24" spans="1:7" x14ac:dyDescent="0.25">
      <c r="A24" s="2" t="s">
        <v>100</v>
      </c>
      <c r="B24" s="2" t="s">
        <v>92</v>
      </c>
      <c r="C24" s="2" t="s">
        <v>104</v>
      </c>
      <c r="D24" s="2" t="s">
        <v>87</v>
      </c>
      <c r="E24" s="2">
        <v>1</v>
      </c>
      <c r="F24" s="2"/>
      <c r="G24" s="2"/>
    </row>
    <row r="25" spans="1:7" x14ac:dyDescent="0.25">
      <c r="A25" s="2" t="s">
        <v>100</v>
      </c>
      <c r="B25" s="2" t="s">
        <v>93</v>
      </c>
      <c r="C25" s="2" t="s">
        <v>94</v>
      </c>
      <c r="D25" s="2" t="s">
        <v>87</v>
      </c>
      <c r="E25" s="2">
        <v>1</v>
      </c>
      <c r="F25" s="2"/>
      <c r="G25" s="2"/>
    </row>
    <row r="26" spans="1:7" x14ac:dyDescent="0.25">
      <c r="A26" s="2" t="s">
        <v>100</v>
      </c>
      <c r="B26" s="2" t="s">
        <v>105</v>
      </c>
      <c r="C26" s="2" t="s">
        <v>106</v>
      </c>
      <c r="D26" s="2" t="s">
        <v>87</v>
      </c>
      <c r="E26" s="2">
        <v>1</v>
      </c>
      <c r="F26" s="2"/>
      <c r="G26" s="2"/>
    </row>
    <row r="27" spans="1:7" x14ac:dyDescent="0.25">
      <c r="A27" s="2" t="s">
        <v>100</v>
      </c>
      <c r="B27" s="2" t="s">
        <v>95</v>
      </c>
      <c r="C27" s="2"/>
      <c r="D27" s="2" t="s">
        <v>87</v>
      </c>
      <c r="E27" s="2">
        <v>1</v>
      </c>
      <c r="F27" s="2"/>
      <c r="G27" s="2"/>
    </row>
    <row r="28" spans="1:7" x14ac:dyDescent="0.25">
      <c r="A28" s="2" t="s">
        <v>100</v>
      </c>
      <c r="B28" s="2" t="s">
        <v>96</v>
      </c>
      <c r="C28" s="2"/>
      <c r="D28" s="2" t="s">
        <v>87</v>
      </c>
      <c r="E28" s="2">
        <v>1</v>
      </c>
      <c r="F28" s="2"/>
      <c r="G28" s="2"/>
    </row>
    <row r="29" spans="1:7" x14ac:dyDescent="0.25">
      <c r="A29" s="2" t="s">
        <v>100</v>
      </c>
      <c r="B29" s="2" t="s">
        <v>97</v>
      </c>
      <c r="C29" s="2"/>
      <c r="D29" s="2" t="s">
        <v>87</v>
      </c>
      <c r="E29" s="2">
        <v>1</v>
      </c>
      <c r="F29" s="2"/>
      <c r="G29" s="2"/>
    </row>
  </sheetData>
  <autoFilter ref="A1:G29" xr:uid="{00000000-0009-0000-0000-000001000000}"/>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defaultRowHeight="14" x14ac:dyDescent="0.25"/>
  <cols>
    <col min="1" max="1" width="16" customWidth="1"/>
    <col min="2" max="2" width="95" customWidth="1"/>
  </cols>
  <sheetData>
    <row r="1" spans="1:2" x14ac:dyDescent="0.25">
      <c r="A1" s="1" t="s">
        <v>107</v>
      </c>
      <c r="B1" s="1" t="s">
        <v>108</v>
      </c>
    </row>
    <row r="2" spans="1:2" x14ac:dyDescent="0.25">
      <c r="A2" s="2" t="s">
        <v>17</v>
      </c>
      <c r="B2" s="2" t="s">
        <v>109</v>
      </c>
    </row>
    <row r="3" spans="1:2" x14ac:dyDescent="0.25">
      <c r="A3" s="2" t="s">
        <v>18</v>
      </c>
      <c r="B3" s="2" t="s">
        <v>110</v>
      </c>
    </row>
    <row r="4" spans="1:2" x14ac:dyDescent="0.25">
      <c r="A4" s="2" t="s">
        <v>11</v>
      </c>
      <c r="B4" s="2" t="s">
        <v>111</v>
      </c>
    </row>
    <row r="5" spans="1:2" x14ac:dyDescent="0.25">
      <c r="A5" s="2" t="s">
        <v>13</v>
      </c>
      <c r="B5" s="2" t="s">
        <v>112</v>
      </c>
    </row>
    <row r="6" spans="1:2" x14ac:dyDescent="0.25">
      <c r="A6" s="2" t="s">
        <v>113</v>
      </c>
      <c r="B6" s="2" t="s">
        <v>114</v>
      </c>
    </row>
    <row r="7" spans="1:2" x14ac:dyDescent="0.25">
      <c r="A7" s="2" t="s">
        <v>15</v>
      </c>
      <c r="B7" s="2" t="s">
        <v>115</v>
      </c>
    </row>
    <row r="8" spans="1:2" x14ac:dyDescent="0.25">
      <c r="A8" s="2" t="s">
        <v>116</v>
      </c>
      <c r="B8" s="2" t="s">
        <v>117</v>
      </c>
    </row>
    <row r="9" spans="1:2" x14ac:dyDescent="0.25">
      <c r="A9" s="2" t="s">
        <v>118</v>
      </c>
      <c r="B9" s="2" t="s">
        <v>119</v>
      </c>
    </row>
    <row r="10" spans="1:2" x14ac:dyDescent="0.25">
      <c r="A10" s="2" t="s">
        <v>120</v>
      </c>
      <c r="B10" s="2" t="s">
        <v>121</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询价设备清单</vt:lpstr>
      <vt:lpstr>CEMS子项拆分</vt:lpstr>
      <vt:lpstr>填写说明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wpf cs</cp:lastModifiedBy>
  <dcterms:created xsi:type="dcterms:W3CDTF">2026-04-07T07:53:46Z</dcterms:created>
  <dcterms:modified xsi:type="dcterms:W3CDTF">2026-04-07T07:59:17Z</dcterms:modified>
</cp:coreProperties>
</file>