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xwechat_files\wxid_9ipdw6wky0fd22_0743\msg\file\2026-03\"/>
    </mc:Choice>
  </mc:AlternateContent>
  <xr:revisionPtr revIDLastSave="0" documentId="13_ncr:1_{47AD2CE0-2EC7-4275-9B74-D87694B43AD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炉子" sheetId="2" r:id="rId1"/>
    <sheet name="空、煤气管道规格" sheetId="6" r:id="rId2"/>
  </sheets>
  <definedNames>
    <definedName name="D">#REF!</definedName>
    <definedName name="dn">#REF!</definedName>
    <definedName name="gad">#REF!</definedName>
    <definedName name="gafr">#REF!</definedName>
    <definedName name="gba">#REF!</definedName>
    <definedName name="gbb">#REF!</definedName>
    <definedName name="hfxs">#REF!</definedName>
    <definedName name="m">#REF!</definedName>
    <definedName name="Pg">#REF!</definedName>
    <definedName name="pj">#REF!</definedName>
    <definedName name="td">#REF!</definedName>
    <definedName name="tt">#REF!</definedName>
    <definedName name="v">#REF!</definedName>
    <definedName name="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1" i="2" l="1"/>
  <c r="O91" i="2" s="1"/>
  <c r="M80" i="2"/>
  <c r="O80" i="2" s="1"/>
  <c r="M65" i="2"/>
  <c r="O65" i="2" s="1"/>
  <c r="M54" i="2"/>
  <c r="O54" i="2" s="1"/>
  <c r="O40" i="2"/>
  <c r="N40" i="2"/>
  <c r="M40" i="2"/>
  <c r="O29" i="2"/>
  <c r="N29" i="2"/>
  <c r="M29" i="2"/>
  <c r="O16" i="2"/>
  <c r="O5" i="2"/>
  <c r="N16" i="2"/>
  <c r="N5" i="2"/>
  <c r="M16" i="2"/>
  <c r="M5" i="2"/>
  <c r="N91" i="2" l="1"/>
  <c r="N80" i="2"/>
  <c r="N54" i="2"/>
  <c r="N65" i="2"/>
</calcChain>
</file>

<file path=xl/sharedStrings.xml><?xml version="1.0" encoding="utf-8"?>
<sst xmlns="http://schemas.openxmlformats.org/spreadsheetml/2006/main" count="422" uniqueCount="66">
  <si>
    <t>项目</t>
  </si>
  <si>
    <t>均上左</t>
  </si>
  <si>
    <t>均下左</t>
  </si>
  <si>
    <t>均上右</t>
  </si>
  <si>
    <t>均下右</t>
  </si>
  <si>
    <t>序号</t>
  </si>
  <si>
    <t>单位</t>
  </si>
  <si>
    <t>Nm3/h</t>
  </si>
  <si>
    <t>设定流速</t>
  </si>
  <si>
    <t>mm</t>
  </si>
  <si>
    <t>公称直径</t>
  </si>
  <si>
    <t>管道外径</t>
  </si>
  <si>
    <t>壁厚</t>
  </si>
  <si>
    <t>管道内径</t>
  </si>
  <si>
    <t>附表3               空、煤气管道规格表</t>
  </si>
  <si>
    <t>公称</t>
  </si>
  <si>
    <t>材质</t>
  </si>
  <si>
    <t>外径</t>
  </si>
  <si>
    <t>热煤气
壁厚</t>
  </si>
  <si>
    <t>冷煤气
壁厚</t>
  </si>
  <si>
    <t>热空气
壁厚</t>
  </si>
  <si>
    <t>冷空气
壁厚</t>
  </si>
  <si>
    <t>备注</t>
  </si>
  <si>
    <t>直径</t>
  </si>
  <si>
    <t>焊管</t>
  </si>
  <si>
    <t>热空气</t>
  </si>
  <si>
    <t>热煤气</t>
  </si>
  <si>
    <t>△</t>
  </si>
  <si>
    <t>钢板管</t>
  </si>
  <si>
    <t>注：1、蓄热式炉的空烟和煤烟管道及常规炉的烟管壁厚按热空气管道。
    2、焊管采用低压流体输送用焊接钢管（GB/T3091)
    3、备注里带 △ 的管径尽量不采用。</t>
  </si>
  <si>
    <t>三棒</t>
  </si>
  <si>
    <t>一加上左</t>
  </si>
  <si>
    <t>一加上右</t>
  </si>
  <si>
    <t>一加下</t>
  </si>
  <si>
    <t>煤气量</t>
  </si>
  <si>
    <t>Nm/s</t>
  </si>
  <si>
    <t>煤气计算管径</t>
  </si>
  <si>
    <t>DN350</t>
  </si>
  <si>
    <t>DN600</t>
  </si>
  <si>
    <t>DN250</t>
  </si>
  <si>
    <t>DN300</t>
  </si>
  <si>
    <t>煤气实际流速</t>
  </si>
  <si>
    <t>调节阀缩径</t>
  </si>
  <si>
    <t>调节阀流速</t>
  </si>
  <si>
    <t>空气量</t>
  </si>
  <si>
    <t>空气计算管径</t>
  </si>
  <si>
    <t>DN650</t>
  </si>
  <si>
    <t>DN1100</t>
  </si>
  <si>
    <t>DN500</t>
  </si>
  <si>
    <t>DN550</t>
  </si>
  <si>
    <t>空气实际流速</t>
  </si>
  <si>
    <t>二高</t>
  </si>
  <si>
    <t>DN225</t>
  </si>
  <si>
    <t>DN1000</t>
  </si>
  <si>
    <t>DN400</t>
  </si>
  <si>
    <t>DN450</t>
  </si>
  <si>
    <t>一高线</t>
  </si>
  <si>
    <t>DN200</t>
  </si>
  <si>
    <t>DN900</t>
  </si>
  <si>
    <t>二棒</t>
  </si>
  <si>
    <t>黄色是流量计参数；绿色是调节阀参数</t>
    <phoneticPr fontId="1" type="noConversion"/>
  </si>
  <si>
    <t>NORMAL</t>
    <phoneticPr fontId="1" type="noConversion"/>
  </si>
  <si>
    <t>MAX</t>
    <phoneticPr fontId="1" type="noConversion"/>
  </si>
  <si>
    <t>MIN</t>
    <phoneticPr fontId="1" type="noConversion"/>
  </si>
  <si>
    <t>煤气</t>
    <phoneticPr fontId="1" type="noConversion"/>
  </si>
  <si>
    <t>空气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</si>
</sst>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  <font>
      <sz val="16"/>
      <name val="宋体"/>
      <family val="3"/>
      <charset val="134"/>
    </font>
    <font>
      <sz val="11"/>
      <color rgb="FFFF000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</cellStyleXfs>
  <cellXfs count="32">
    <xf numFmtId="0" fontId="0" fillId="0" borderId="0" xfId="0">
      <alignment vertical="center"/>
    </xf>
    <xf numFmtId="0" fontId="2" fillId="0" borderId="0" xfId="2"/>
    <xf numFmtId="0" fontId="2" fillId="0" borderId="4" xfId="2" applyBorder="1" applyAlignment="1">
      <alignment horizontal="center" vertical="center"/>
    </xf>
    <xf numFmtId="0" fontId="2" fillId="0" borderId="5" xfId="2" applyBorder="1" applyAlignment="1">
      <alignment horizontal="center" vertical="center"/>
    </xf>
    <xf numFmtId="0" fontId="2" fillId="0" borderId="1" xfId="2" applyBorder="1" applyAlignment="1">
      <alignment horizontal="center"/>
    </xf>
    <xf numFmtId="0" fontId="2" fillId="3" borderId="1" xfId="2" applyFill="1" applyBorder="1" applyAlignment="1">
      <alignment horizontal="center"/>
    </xf>
    <xf numFmtId="0" fontId="2" fillId="4" borderId="1" xfId="2" applyFill="1" applyBorder="1" applyAlignment="1">
      <alignment horizontal="center"/>
    </xf>
    <xf numFmtId="0" fontId="2" fillId="4" borderId="0" xfId="2" applyFill="1"/>
    <xf numFmtId="0" fontId="2" fillId="3" borderId="0" xfId="2" applyFill="1"/>
    <xf numFmtId="0" fontId="2" fillId="0" borderId="0" xfId="2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2" applyAlignment="1">
      <alignment horizontal="center"/>
    </xf>
    <xf numFmtId="0" fontId="2" fillId="0" borderId="6" xfId="2" applyBorder="1" applyAlignment="1">
      <alignment horizontal="left" wrapText="1"/>
    </xf>
    <xf numFmtId="0" fontId="2" fillId="0" borderId="7" xfId="2" applyBorder="1" applyAlignment="1">
      <alignment horizontal="left"/>
    </xf>
    <xf numFmtId="0" fontId="2" fillId="0" borderId="2" xfId="2" applyBorder="1" applyAlignment="1">
      <alignment horizontal="left"/>
    </xf>
    <xf numFmtId="0" fontId="3" fillId="0" borderId="3" xfId="2" applyFont="1" applyBorder="1" applyAlignment="1">
      <alignment horizontal="left" vertical="center"/>
    </xf>
    <xf numFmtId="0" fontId="2" fillId="0" borderId="1" xfId="2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0" borderId="5" xfId="2" applyBorder="1" applyAlignment="1">
      <alignment horizontal="center" vertical="center"/>
    </xf>
    <xf numFmtId="0" fontId="2" fillId="3" borderId="4" xfId="2" applyFill="1" applyBorder="1" applyAlignment="1">
      <alignment horizontal="center" vertical="center" wrapText="1"/>
    </xf>
    <xf numFmtId="0" fontId="2" fillId="3" borderId="5" xfId="2" applyFill="1" applyBorder="1" applyAlignment="1">
      <alignment horizontal="center" vertical="center"/>
    </xf>
    <xf numFmtId="0" fontId="2" fillId="0" borderId="4" xfId="2" applyBorder="1" applyAlignment="1">
      <alignment horizontal="center" vertical="center" wrapText="1"/>
    </xf>
    <xf numFmtId="0" fontId="2" fillId="4" borderId="4" xfId="2" applyFill="1" applyBorder="1" applyAlignment="1">
      <alignment horizontal="center" vertical="center" wrapText="1"/>
    </xf>
    <xf numFmtId="0" fontId="2" fillId="4" borderId="5" xfId="2" applyFill="1" applyBorder="1" applyAlignment="1">
      <alignment horizontal="center" vertical="center"/>
    </xf>
    <xf numFmtId="0" fontId="2" fillId="0" borderId="4" xfId="2" applyBorder="1" applyAlignment="1">
      <alignment horizontal="center" wrapText="1"/>
    </xf>
    <xf numFmtId="0" fontId="2" fillId="0" borderId="5" xfId="2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常规" xfId="0" builtinId="0"/>
    <cellStyle name="常规 2" xfId="2" xr:uid="{00000000-0005-0000-0000-000001000000}"/>
    <cellStyle name="常规 6" xfId="1" xr:uid="{00000000-0005-0000-0000-000002000000}"/>
    <cellStyle name="常规 8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B1:O100"/>
  <sheetViews>
    <sheetView tabSelected="1" zoomScale="85" zoomScaleNormal="85" workbookViewId="0">
      <selection activeCell="O4" sqref="O4"/>
    </sheetView>
  </sheetViews>
  <sheetFormatPr defaultRowHeight="13.8" x14ac:dyDescent="0.25"/>
  <cols>
    <col min="3" max="3" width="13.33203125" customWidth="1"/>
    <col min="11" max="11" width="8.6640625" customWidth="1"/>
  </cols>
  <sheetData>
    <row r="1" spans="2:15" s="10" customFormat="1" x14ac:dyDescent="0.25"/>
    <row r="2" spans="2:15" s="10" customFormat="1" x14ac:dyDescent="0.25">
      <c r="C2" s="29"/>
      <c r="D2" s="29" t="s">
        <v>60</v>
      </c>
      <c r="E2" s="29"/>
      <c r="F2" s="29"/>
      <c r="M2" s="10" t="s">
        <v>62</v>
      </c>
      <c r="N2" s="10" t="s">
        <v>61</v>
      </c>
      <c r="O2" s="10" t="s">
        <v>63</v>
      </c>
    </row>
    <row r="3" spans="2:15" s="10" customFormat="1" x14ac:dyDescent="0.25">
      <c r="B3" s="11" t="s">
        <v>30</v>
      </c>
      <c r="C3" s="11"/>
      <c r="D3" s="11"/>
      <c r="E3" s="11"/>
      <c r="F3" s="11"/>
      <c r="G3" s="11"/>
      <c r="H3" s="11"/>
      <c r="I3" s="11"/>
      <c r="J3" s="11"/>
      <c r="K3" s="11"/>
      <c r="N3" s="10">
        <v>0.7</v>
      </c>
      <c r="O3" s="10">
        <v>0.2</v>
      </c>
    </row>
    <row r="4" spans="2:15" s="10" customFormat="1" x14ac:dyDescent="0.25">
      <c r="B4" s="11" t="s">
        <v>5</v>
      </c>
      <c r="C4" s="11" t="s">
        <v>0</v>
      </c>
      <c r="D4" s="11" t="s">
        <v>6</v>
      </c>
      <c r="E4" s="11" t="s">
        <v>31</v>
      </c>
      <c r="F4" s="11" t="s">
        <v>32</v>
      </c>
      <c r="G4" s="11" t="s">
        <v>33</v>
      </c>
      <c r="H4" s="11" t="s">
        <v>1</v>
      </c>
      <c r="I4" s="11" t="s">
        <v>3</v>
      </c>
      <c r="J4" s="11" t="s">
        <v>2</v>
      </c>
      <c r="K4" s="11" t="s">
        <v>4</v>
      </c>
    </row>
    <row r="5" spans="2:15" s="10" customFormat="1" x14ac:dyDescent="0.25">
      <c r="B5" s="11">
        <v>1</v>
      </c>
      <c r="C5" s="11" t="s">
        <v>34</v>
      </c>
      <c r="D5" s="11" t="s">
        <v>7</v>
      </c>
      <c r="E5" s="11">
        <v>3600</v>
      </c>
      <c r="F5" s="11">
        <v>3600</v>
      </c>
      <c r="G5" s="11">
        <v>10800</v>
      </c>
      <c r="H5" s="11">
        <v>1920</v>
      </c>
      <c r="I5" s="11">
        <v>1920</v>
      </c>
      <c r="J5" s="11">
        <v>2500</v>
      </c>
      <c r="K5" s="11">
        <v>2500</v>
      </c>
      <c r="L5" s="31" t="s">
        <v>64</v>
      </c>
      <c r="M5" s="30">
        <f>E5</f>
        <v>3600</v>
      </c>
      <c r="N5" s="30">
        <f>M5*N$3</f>
        <v>2520</v>
      </c>
      <c r="O5" s="30">
        <f>M5*O$3</f>
        <v>720</v>
      </c>
    </row>
    <row r="6" spans="2:15" s="10" customFormat="1" x14ac:dyDescent="0.25">
      <c r="B6" s="11">
        <v>2</v>
      </c>
      <c r="C6" s="11" t="s">
        <v>8</v>
      </c>
      <c r="D6" s="11" t="s">
        <v>35</v>
      </c>
      <c r="E6" s="11">
        <v>10</v>
      </c>
      <c r="F6" s="11">
        <v>10</v>
      </c>
      <c r="G6" s="11">
        <v>10</v>
      </c>
      <c r="H6" s="11">
        <v>10</v>
      </c>
      <c r="I6" s="11">
        <v>10</v>
      </c>
      <c r="J6" s="11">
        <v>10</v>
      </c>
      <c r="K6" s="11">
        <v>10</v>
      </c>
    </row>
    <row r="7" spans="2:15" s="10" customFormat="1" x14ac:dyDescent="0.25">
      <c r="B7" s="11">
        <v>4</v>
      </c>
      <c r="C7" s="11" t="s">
        <v>36</v>
      </c>
      <c r="D7" s="11" t="s">
        <v>9</v>
      </c>
      <c r="E7" s="11">
        <v>366.91530512412481</v>
      </c>
      <c r="F7" s="11">
        <v>366.91530512412481</v>
      </c>
      <c r="G7" s="11">
        <v>630.19544247393264</v>
      </c>
      <c r="H7" s="11">
        <v>270.65408498042984</v>
      </c>
      <c r="I7" s="11">
        <v>270.65408498042984</v>
      </c>
      <c r="J7" s="11">
        <v>307.42942093677073</v>
      </c>
      <c r="K7" s="11">
        <v>307.42942093677073</v>
      </c>
    </row>
    <row r="8" spans="2:15" s="10" customFormat="1" x14ac:dyDescent="0.25">
      <c r="B8" s="11">
        <v>6</v>
      </c>
      <c r="C8" s="11" t="s">
        <v>10</v>
      </c>
      <c r="D8" s="11" t="s">
        <v>9</v>
      </c>
      <c r="E8" s="12" t="s">
        <v>37</v>
      </c>
      <c r="F8" s="12" t="s">
        <v>37</v>
      </c>
      <c r="G8" s="11" t="s">
        <v>38</v>
      </c>
      <c r="H8" s="11" t="s">
        <v>39</v>
      </c>
      <c r="I8" s="11" t="s">
        <v>39</v>
      </c>
      <c r="J8" s="11" t="s">
        <v>40</v>
      </c>
      <c r="K8" s="11" t="s">
        <v>40</v>
      </c>
    </row>
    <row r="9" spans="2:15" s="10" customFormat="1" x14ac:dyDescent="0.25">
      <c r="B9" s="11">
        <v>7</v>
      </c>
      <c r="C9" s="11" t="s">
        <v>11</v>
      </c>
      <c r="D9" s="11" t="s">
        <v>9</v>
      </c>
      <c r="E9" s="12">
        <v>356</v>
      </c>
      <c r="F9" s="12">
        <v>356</v>
      </c>
      <c r="G9" s="11">
        <v>610</v>
      </c>
      <c r="H9" s="11">
        <v>273</v>
      </c>
      <c r="I9" s="11">
        <v>273</v>
      </c>
      <c r="J9" s="11">
        <v>324</v>
      </c>
      <c r="K9" s="11">
        <v>324</v>
      </c>
    </row>
    <row r="10" spans="2:15" s="10" customFormat="1" x14ac:dyDescent="0.25">
      <c r="B10" s="11">
        <v>8</v>
      </c>
      <c r="C10" s="11" t="s">
        <v>12</v>
      </c>
      <c r="D10" s="11" t="s">
        <v>9</v>
      </c>
      <c r="E10" s="12">
        <v>5</v>
      </c>
      <c r="F10" s="12">
        <v>5</v>
      </c>
      <c r="G10" s="11">
        <v>6</v>
      </c>
      <c r="H10" s="11">
        <v>5</v>
      </c>
      <c r="I10" s="11">
        <v>5</v>
      </c>
      <c r="J10" s="11">
        <v>5</v>
      </c>
      <c r="K10" s="11">
        <v>5</v>
      </c>
    </row>
    <row r="11" spans="2:15" s="10" customFormat="1" x14ac:dyDescent="0.25">
      <c r="B11" s="11">
        <v>9</v>
      </c>
      <c r="C11" s="11" t="s">
        <v>13</v>
      </c>
      <c r="D11" s="11" t="s">
        <v>9</v>
      </c>
      <c r="E11" s="11">
        <v>346</v>
      </c>
      <c r="F11" s="11">
        <v>346</v>
      </c>
      <c r="G11" s="11">
        <v>598</v>
      </c>
      <c r="H11" s="11">
        <v>263</v>
      </c>
      <c r="I11" s="11">
        <v>263</v>
      </c>
      <c r="J11" s="11">
        <v>314</v>
      </c>
      <c r="K11" s="11">
        <v>314</v>
      </c>
    </row>
    <row r="12" spans="2:15" s="10" customFormat="1" x14ac:dyDescent="0.25">
      <c r="B12" s="11">
        <v>10</v>
      </c>
      <c r="C12" s="11" t="s">
        <v>41</v>
      </c>
      <c r="D12" s="11" t="s">
        <v>35</v>
      </c>
      <c r="E12" s="11">
        <v>11.283706688620246</v>
      </c>
      <c r="F12" s="11">
        <v>11.283706688620246</v>
      </c>
      <c r="G12" s="11">
        <v>11.129005727950862</v>
      </c>
      <c r="H12" s="11">
        <v>10.614218628159342</v>
      </c>
      <c r="I12" s="11">
        <v>10.614218628159342</v>
      </c>
      <c r="J12" s="11">
        <v>9.5723966021882294</v>
      </c>
      <c r="K12" s="11">
        <v>9.5723966021882294</v>
      </c>
    </row>
    <row r="13" spans="2:15" s="10" customFormat="1" x14ac:dyDescent="0.25">
      <c r="B13" s="11">
        <v>11</v>
      </c>
      <c r="C13" s="11" t="s">
        <v>42</v>
      </c>
      <c r="D13" s="11"/>
      <c r="E13" s="28" t="s">
        <v>39</v>
      </c>
      <c r="F13" s="28" t="s">
        <v>39</v>
      </c>
      <c r="G13" s="11"/>
      <c r="H13" s="11"/>
      <c r="I13" s="11"/>
      <c r="J13" s="11"/>
      <c r="K13" s="11"/>
    </row>
    <row r="14" spans="2:15" s="10" customFormat="1" x14ac:dyDescent="0.25">
      <c r="B14" s="11">
        <v>12</v>
      </c>
      <c r="C14" s="11" t="s">
        <v>43</v>
      </c>
      <c r="D14" s="11" t="s">
        <v>35</v>
      </c>
      <c r="E14" s="11">
        <v>18.416998226350984</v>
      </c>
      <c r="F14" s="11">
        <v>18.416998226350984</v>
      </c>
      <c r="G14" s="11"/>
      <c r="H14" s="11"/>
      <c r="I14" s="11"/>
      <c r="J14" s="11"/>
      <c r="K14" s="11"/>
    </row>
    <row r="15" spans="2:15" s="10" customFormat="1" x14ac:dyDescent="0.25">
      <c r="B15" s="11" t="s">
        <v>5</v>
      </c>
      <c r="C15" s="11" t="s">
        <v>0</v>
      </c>
      <c r="D15" s="11" t="s">
        <v>6</v>
      </c>
      <c r="E15" s="11" t="s">
        <v>31</v>
      </c>
      <c r="F15" s="11" t="s">
        <v>32</v>
      </c>
      <c r="G15" s="11" t="s">
        <v>33</v>
      </c>
      <c r="H15" s="11" t="s">
        <v>1</v>
      </c>
      <c r="I15" s="11" t="s">
        <v>3</v>
      </c>
      <c r="J15" s="11" t="s">
        <v>2</v>
      </c>
      <c r="K15" s="11" t="s">
        <v>4</v>
      </c>
    </row>
    <row r="16" spans="2:15" s="10" customFormat="1" x14ac:dyDescent="0.25">
      <c r="B16" s="11">
        <v>1</v>
      </c>
      <c r="C16" s="11" t="s">
        <v>44</v>
      </c>
      <c r="D16" s="11" t="s">
        <v>7</v>
      </c>
      <c r="E16" s="11">
        <v>9277.2000000000007</v>
      </c>
      <c r="F16" s="11">
        <v>9277.2000000000007</v>
      </c>
      <c r="G16" s="11">
        <v>27831.599999999999</v>
      </c>
      <c r="H16" s="11">
        <v>4947.84</v>
      </c>
      <c r="I16" s="11">
        <v>4947.84</v>
      </c>
      <c r="J16" s="11">
        <v>6442.5</v>
      </c>
      <c r="K16" s="11">
        <v>6442.5</v>
      </c>
      <c r="L16" s="31" t="s">
        <v>65</v>
      </c>
      <c r="M16" s="30">
        <f>E16</f>
        <v>9277.2000000000007</v>
      </c>
      <c r="N16" s="30">
        <f>M16*N$3</f>
        <v>6494.04</v>
      </c>
      <c r="O16" s="30">
        <f>M16*O$3</f>
        <v>1855.4400000000003</v>
      </c>
    </row>
    <row r="17" spans="2:15" s="10" customFormat="1" x14ac:dyDescent="0.25">
      <c r="B17" s="11">
        <v>2</v>
      </c>
      <c r="C17" s="11" t="s">
        <v>8</v>
      </c>
      <c r="D17" s="11" t="s">
        <v>35</v>
      </c>
      <c r="E17" s="11">
        <v>8</v>
      </c>
      <c r="F17" s="11">
        <v>8</v>
      </c>
      <c r="G17" s="11">
        <v>8</v>
      </c>
      <c r="H17" s="11">
        <v>8</v>
      </c>
      <c r="I17" s="11">
        <v>8</v>
      </c>
      <c r="J17" s="11">
        <v>8</v>
      </c>
      <c r="K17" s="11">
        <v>8</v>
      </c>
    </row>
    <row r="18" spans="2:15" s="10" customFormat="1" x14ac:dyDescent="0.25">
      <c r="B18" s="11">
        <v>4</v>
      </c>
      <c r="C18" s="11" t="s">
        <v>45</v>
      </c>
      <c r="D18" s="11" t="s">
        <v>9</v>
      </c>
      <c r="E18" s="11">
        <v>650.58591810258963</v>
      </c>
      <c r="F18" s="11">
        <v>650.58591810258963</v>
      </c>
      <c r="G18" s="11">
        <v>1121.527356766841</v>
      </c>
      <c r="H18" s="11">
        <v>477.81780981992699</v>
      </c>
      <c r="I18" s="11">
        <v>477.81780981992699</v>
      </c>
      <c r="J18" s="11">
        <v>543.82159841882458</v>
      </c>
      <c r="K18" s="11">
        <v>543.82159841882458</v>
      </c>
    </row>
    <row r="19" spans="2:15" s="10" customFormat="1" x14ac:dyDescent="0.25">
      <c r="B19" s="11">
        <v>6</v>
      </c>
      <c r="C19" s="11" t="s">
        <v>10</v>
      </c>
      <c r="D19" s="11" t="s">
        <v>9</v>
      </c>
      <c r="E19" s="12" t="s">
        <v>46</v>
      </c>
      <c r="F19" s="12" t="s">
        <v>46</v>
      </c>
      <c r="G19" s="11" t="s">
        <v>47</v>
      </c>
      <c r="H19" s="11" t="s">
        <v>48</v>
      </c>
      <c r="I19" s="11" t="s">
        <v>48</v>
      </c>
      <c r="J19" s="11" t="s">
        <v>49</v>
      </c>
      <c r="K19" s="11" t="s">
        <v>49</v>
      </c>
    </row>
    <row r="20" spans="2:15" s="10" customFormat="1" x14ac:dyDescent="0.25">
      <c r="B20" s="11">
        <v>7</v>
      </c>
      <c r="C20" s="11" t="s">
        <v>11</v>
      </c>
      <c r="D20" s="11" t="s">
        <v>9</v>
      </c>
      <c r="E20" s="12">
        <v>661</v>
      </c>
      <c r="F20" s="12">
        <v>661</v>
      </c>
      <c r="G20" s="11">
        <v>1120</v>
      </c>
      <c r="H20" s="11">
        <v>508</v>
      </c>
      <c r="I20" s="11">
        <v>508</v>
      </c>
      <c r="J20" s="11">
        <v>560</v>
      </c>
      <c r="K20" s="11">
        <v>560</v>
      </c>
    </row>
    <row r="21" spans="2:15" s="10" customFormat="1" x14ac:dyDescent="0.25">
      <c r="B21" s="11">
        <v>8</v>
      </c>
      <c r="C21" s="11" t="s">
        <v>12</v>
      </c>
      <c r="D21" s="11" t="s">
        <v>9</v>
      </c>
      <c r="E21" s="12">
        <v>5</v>
      </c>
      <c r="F21" s="12">
        <v>5</v>
      </c>
      <c r="G21" s="11">
        <v>6</v>
      </c>
      <c r="H21" s="11">
        <v>5</v>
      </c>
      <c r="I21" s="11">
        <v>5</v>
      </c>
      <c r="J21" s="11">
        <v>5</v>
      </c>
      <c r="K21" s="11">
        <v>5</v>
      </c>
    </row>
    <row r="22" spans="2:15" s="10" customFormat="1" x14ac:dyDescent="0.25">
      <c r="B22" s="11">
        <v>9</v>
      </c>
      <c r="C22" s="11" t="s">
        <v>13</v>
      </c>
      <c r="D22" s="11" t="s">
        <v>9</v>
      </c>
      <c r="E22" s="11">
        <v>651</v>
      </c>
      <c r="F22" s="11">
        <v>651</v>
      </c>
      <c r="G22" s="11">
        <v>1108</v>
      </c>
      <c r="H22" s="11">
        <v>498</v>
      </c>
      <c r="I22" s="11">
        <v>498</v>
      </c>
      <c r="J22" s="11">
        <v>550</v>
      </c>
      <c r="K22" s="11">
        <v>550</v>
      </c>
    </row>
    <row r="23" spans="2:15" s="10" customFormat="1" x14ac:dyDescent="0.25">
      <c r="B23" s="11">
        <v>10</v>
      </c>
      <c r="C23" s="11" t="s">
        <v>50</v>
      </c>
      <c r="D23" s="11" t="s">
        <v>35</v>
      </c>
      <c r="E23" s="11">
        <v>7.9896674408665795</v>
      </c>
      <c r="F23" s="11">
        <v>7.9896674408665795</v>
      </c>
      <c r="G23" s="11">
        <v>8.1986983550935886</v>
      </c>
      <c r="H23" s="11">
        <v>7.3519720231360317</v>
      </c>
      <c r="I23" s="11">
        <v>7.3519720231360317</v>
      </c>
      <c r="J23" s="11">
        <v>7.8179835099706132</v>
      </c>
      <c r="K23" s="11">
        <v>7.8179835099706132</v>
      </c>
    </row>
    <row r="24" spans="2:15" s="10" customFormat="1" x14ac:dyDescent="0.25">
      <c r="B24" s="11">
        <v>11</v>
      </c>
      <c r="C24" s="11" t="s">
        <v>42</v>
      </c>
      <c r="D24" s="11"/>
      <c r="E24" s="28" t="s">
        <v>48</v>
      </c>
      <c r="F24" s="28" t="s">
        <v>48</v>
      </c>
      <c r="G24" s="11"/>
      <c r="H24" s="11"/>
      <c r="I24" s="11"/>
      <c r="J24" s="11"/>
      <c r="K24" s="11"/>
    </row>
    <row r="25" spans="2:15" s="10" customFormat="1" x14ac:dyDescent="0.25">
      <c r="B25" s="11">
        <v>12</v>
      </c>
      <c r="C25" s="11" t="s">
        <v>43</v>
      </c>
      <c r="D25" s="11" t="s">
        <v>35</v>
      </c>
      <c r="E25" s="11">
        <v>13.236893549179452</v>
      </c>
      <c r="F25" s="11">
        <v>13.236893549179452</v>
      </c>
      <c r="G25" s="11"/>
      <c r="H25" s="11"/>
      <c r="I25" s="11"/>
      <c r="J25" s="11"/>
      <c r="K25" s="11"/>
    </row>
    <row r="26" spans="2:15" s="10" customFormat="1" x14ac:dyDescent="0.25"/>
    <row r="27" spans="2:15" s="10" customFormat="1" x14ac:dyDescent="0.25">
      <c r="B27" s="11" t="s">
        <v>51</v>
      </c>
      <c r="C27" s="11"/>
      <c r="D27" s="11"/>
      <c r="E27" s="11"/>
      <c r="F27" s="11"/>
      <c r="G27" s="11"/>
      <c r="H27" s="11"/>
      <c r="I27" s="11"/>
      <c r="J27" s="11"/>
      <c r="K27" s="11"/>
      <c r="M27" s="10" t="s">
        <v>62</v>
      </c>
      <c r="N27" s="10" t="s">
        <v>61</v>
      </c>
      <c r="O27" s="10" t="s">
        <v>63</v>
      </c>
    </row>
    <row r="28" spans="2:15" s="10" customFormat="1" x14ac:dyDescent="0.25">
      <c r="B28" s="11" t="s">
        <v>5</v>
      </c>
      <c r="C28" s="11" t="s">
        <v>0</v>
      </c>
      <c r="D28" s="11" t="s">
        <v>6</v>
      </c>
      <c r="E28" s="11" t="s">
        <v>31</v>
      </c>
      <c r="F28" s="11" t="s">
        <v>32</v>
      </c>
      <c r="G28" s="11" t="s">
        <v>33</v>
      </c>
      <c r="H28" s="11" t="s">
        <v>1</v>
      </c>
      <c r="I28" s="11" t="s">
        <v>3</v>
      </c>
      <c r="J28" s="11" t="s">
        <v>2</v>
      </c>
      <c r="K28" s="11" t="s">
        <v>4</v>
      </c>
    </row>
    <row r="29" spans="2:15" s="10" customFormat="1" x14ac:dyDescent="0.25">
      <c r="B29" s="11">
        <v>1</v>
      </c>
      <c r="C29" s="11" t="s">
        <v>34</v>
      </c>
      <c r="D29" s="11" t="s">
        <v>7</v>
      </c>
      <c r="E29" s="11">
        <v>2880</v>
      </c>
      <c r="F29" s="11">
        <v>2880</v>
      </c>
      <c r="G29" s="11">
        <v>9000</v>
      </c>
      <c r="H29" s="11">
        <v>1440</v>
      </c>
      <c r="I29" s="11">
        <v>1440</v>
      </c>
      <c r="J29" s="11">
        <v>2500</v>
      </c>
      <c r="K29" s="11">
        <v>2500</v>
      </c>
      <c r="L29" s="31" t="s">
        <v>64</v>
      </c>
      <c r="M29" s="30">
        <f>E29</f>
        <v>2880</v>
      </c>
      <c r="N29" s="30">
        <f>M29*N$3</f>
        <v>2015.9999999999998</v>
      </c>
      <c r="O29" s="30">
        <f>M29*O$3</f>
        <v>576</v>
      </c>
    </row>
    <row r="30" spans="2:15" s="10" customFormat="1" x14ac:dyDescent="0.25">
      <c r="B30" s="11">
        <v>2</v>
      </c>
      <c r="C30" s="11" t="s">
        <v>8</v>
      </c>
      <c r="D30" s="11" t="s">
        <v>35</v>
      </c>
      <c r="E30" s="11">
        <v>10</v>
      </c>
      <c r="F30" s="11">
        <v>10</v>
      </c>
      <c r="G30" s="11">
        <v>10</v>
      </c>
      <c r="H30" s="11">
        <v>10</v>
      </c>
      <c r="I30" s="11">
        <v>10</v>
      </c>
      <c r="J30" s="11">
        <v>10</v>
      </c>
      <c r="K30" s="11">
        <v>10</v>
      </c>
    </row>
    <row r="31" spans="2:15" s="10" customFormat="1" x14ac:dyDescent="0.25">
      <c r="B31" s="11">
        <v>4</v>
      </c>
      <c r="C31" s="11" t="s">
        <v>36</v>
      </c>
      <c r="D31" s="11" t="s">
        <v>9</v>
      </c>
      <c r="E31" s="11">
        <v>329.23475378704887</v>
      </c>
      <c r="F31" s="11">
        <v>329.23475378704887</v>
      </c>
      <c r="G31" s="11">
        <v>576.33264798310029</v>
      </c>
      <c r="H31" s="11">
        <v>235.73305919324014</v>
      </c>
      <c r="I31" s="11">
        <v>235.73305919324014</v>
      </c>
      <c r="J31" s="11">
        <v>307.42942093677073</v>
      </c>
      <c r="K31" s="11">
        <v>307.42942093677073</v>
      </c>
    </row>
    <row r="32" spans="2:15" s="10" customFormat="1" x14ac:dyDescent="0.25">
      <c r="B32" s="11">
        <v>6</v>
      </c>
      <c r="C32" s="11" t="s">
        <v>10</v>
      </c>
      <c r="D32" s="11" t="s">
        <v>9</v>
      </c>
      <c r="E32" s="12" t="s">
        <v>37</v>
      </c>
      <c r="F32" s="12" t="s">
        <v>37</v>
      </c>
      <c r="G32" s="11" t="s">
        <v>38</v>
      </c>
      <c r="H32" s="11" t="s">
        <v>39</v>
      </c>
      <c r="I32" s="11" t="s">
        <v>39</v>
      </c>
      <c r="J32" s="11" t="s">
        <v>40</v>
      </c>
      <c r="K32" s="11" t="s">
        <v>40</v>
      </c>
    </row>
    <row r="33" spans="2:15" s="10" customFormat="1" x14ac:dyDescent="0.25">
      <c r="B33" s="11">
        <v>7</v>
      </c>
      <c r="C33" s="11" t="s">
        <v>11</v>
      </c>
      <c r="D33" s="11" t="s">
        <v>9</v>
      </c>
      <c r="E33" s="12">
        <v>356</v>
      </c>
      <c r="F33" s="12">
        <v>356</v>
      </c>
      <c r="G33" s="11">
        <v>610</v>
      </c>
      <c r="H33" s="11">
        <v>273</v>
      </c>
      <c r="I33" s="11">
        <v>273</v>
      </c>
      <c r="J33" s="11">
        <v>324</v>
      </c>
      <c r="K33" s="11">
        <v>324</v>
      </c>
    </row>
    <row r="34" spans="2:15" s="10" customFormat="1" x14ac:dyDescent="0.25">
      <c r="B34" s="11">
        <v>8</v>
      </c>
      <c r="C34" s="11" t="s">
        <v>12</v>
      </c>
      <c r="D34" s="11" t="s">
        <v>9</v>
      </c>
      <c r="E34" s="12">
        <v>5</v>
      </c>
      <c r="F34" s="12">
        <v>5</v>
      </c>
      <c r="G34" s="11">
        <v>6</v>
      </c>
      <c r="H34" s="11">
        <v>5</v>
      </c>
      <c r="I34" s="11">
        <v>5</v>
      </c>
      <c r="J34" s="11">
        <v>5</v>
      </c>
      <c r="K34" s="11">
        <v>5</v>
      </c>
    </row>
    <row r="35" spans="2:15" s="10" customFormat="1" x14ac:dyDescent="0.25">
      <c r="B35" s="11">
        <v>9</v>
      </c>
      <c r="C35" s="11" t="s">
        <v>13</v>
      </c>
      <c r="D35" s="11" t="s">
        <v>9</v>
      </c>
      <c r="E35" s="11">
        <v>346</v>
      </c>
      <c r="F35" s="11">
        <v>346</v>
      </c>
      <c r="G35" s="11">
        <v>598</v>
      </c>
      <c r="H35" s="11">
        <v>263</v>
      </c>
      <c r="I35" s="11">
        <v>263</v>
      </c>
      <c r="J35" s="11">
        <v>314</v>
      </c>
      <c r="K35" s="11">
        <v>314</v>
      </c>
    </row>
    <row r="36" spans="2:15" s="10" customFormat="1" x14ac:dyDescent="0.25">
      <c r="B36" s="11">
        <v>10</v>
      </c>
      <c r="C36" s="11" t="s">
        <v>41</v>
      </c>
      <c r="D36" s="11" t="s">
        <v>35</v>
      </c>
      <c r="E36" s="11">
        <v>9.0269653508961962</v>
      </c>
      <c r="F36" s="11">
        <v>9.0269653508961962</v>
      </c>
      <c r="G36" s="11">
        <v>9.2741714399590514</v>
      </c>
      <c r="H36" s="11">
        <v>7.9606639711195077</v>
      </c>
      <c r="I36" s="11">
        <v>7.9606639711195077</v>
      </c>
      <c r="J36" s="11">
        <v>9.5723966021882294</v>
      </c>
      <c r="K36" s="11">
        <v>9.5723966021882294</v>
      </c>
    </row>
    <row r="37" spans="2:15" s="10" customFormat="1" x14ac:dyDescent="0.25">
      <c r="B37" s="11">
        <v>11</v>
      </c>
      <c r="C37" s="11" t="s">
        <v>42</v>
      </c>
      <c r="D37" s="11"/>
      <c r="E37" s="28" t="s">
        <v>52</v>
      </c>
      <c r="F37" s="28" t="s">
        <v>52</v>
      </c>
      <c r="G37" s="11"/>
      <c r="H37" s="11"/>
      <c r="I37" s="11"/>
      <c r="J37" s="11"/>
      <c r="K37" s="11"/>
    </row>
    <row r="38" spans="2:15" s="10" customFormat="1" x14ac:dyDescent="0.25">
      <c r="B38" s="11">
        <v>12</v>
      </c>
      <c r="C38" s="11" t="s">
        <v>43</v>
      </c>
      <c r="D38" s="11" t="s">
        <v>35</v>
      </c>
      <c r="E38" s="11">
        <v>18.453748850244946</v>
      </c>
      <c r="F38" s="11">
        <v>18.453748850244946</v>
      </c>
      <c r="G38" s="11"/>
      <c r="H38" s="11"/>
      <c r="I38" s="11"/>
      <c r="J38" s="11"/>
      <c r="K38" s="11"/>
    </row>
    <row r="39" spans="2:15" s="10" customFormat="1" x14ac:dyDescent="0.25">
      <c r="B39" s="11" t="s">
        <v>5</v>
      </c>
      <c r="C39" s="11" t="s">
        <v>0</v>
      </c>
      <c r="D39" s="11" t="s">
        <v>6</v>
      </c>
      <c r="E39" s="11" t="s">
        <v>31</v>
      </c>
      <c r="F39" s="11" t="s">
        <v>32</v>
      </c>
      <c r="G39" s="11" t="s">
        <v>33</v>
      </c>
      <c r="H39" s="11" t="s">
        <v>1</v>
      </c>
      <c r="I39" s="11" t="s">
        <v>3</v>
      </c>
      <c r="J39" s="11" t="s">
        <v>2</v>
      </c>
      <c r="K39" s="11" t="s">
        <v>4</v>
      </c>
    </row>
    <row r="40" spans="2:15" s="10" customFormat="1" x14ac:dyDescent="0.25">
      <c r="B40" s="11">
        <v>1</v>
      </c>
      <c r="C40" s="11" t="s">
        <v>44</v>
      </c>
      <c r="D40" s="11" t="s">
        <v>7</v>
      </c>
      <c r="E40" s="11">
        <v>7421.76</v>
      </c>
      <c r="F40" s="11">
        <v>7421.76</v>
      </c>
      <c r="G40" s="11">
        <v>23193</v>
      </c>
      <c r="H40" s="11">
        <v>3710.88</v>
      </c>
      <c r="I40" s="11">
        <v>3710.88</v>
      </c>
      <c r="J40" s="11">
        <v>6442.5</v>
      </c>
      <c r="K40" s="11">
        <v>6442.5</v>
      </c>
      <c r="L40" s="31" t="s">
        <v>65</v>
      </c>
      <c r="M40" s="30">
        <f>E40</f>
        <v>7421.76</v>
      </c>
      <c r="N40" s="30">
        <f>M40*N$3</f>
        <v>5195.232</v>
      </c>
      <c r="O40" s="30">
        <f>M40*O$3</f>
        <v>1484.3520000000001</v>
      </c>
    </row>
    <row r="41" spans="2:15" s="10" customFormat="1" x14ac:dyDescent="0.25">
      <c r="B41" s="11">
        <v>2</v>
      </c>
      <c r="C41" s="11" t="s">
        <v>8</v>
      </c>
      <c r="D41" s="11" t="s">
        <v>35</v>
      </c>
      <c r="E41" s="11">
        <v>8</v>
      </c>
      <c r="F41" s="11">
        <v>8</v>
      </c>
      <c r="G41" s="11">
        <v>8</v>
      </c>
      <c r="H41" s="11">
        <v>8</v>
      </c>
      <c r="I41" s="11">
        <v>8</v>
      </c>
      <c r="J41" s="11">
        <v>8</v>
      </c>
      <c r="K41" s="11">
        <v>8</v>
      </c>
    </row>
    <row r="42" spans="2:15" s="10" customFormat="1" x14ac:dyDescent="0.25">
      <c r="B42" s="11">
        <v>4</v>
      </c>
      <c r="C42" s="11" t="s">
        <v>45</v>
      </c>
      <c r="D42" s="11" t="s">
        <v>9</v>
      </c>
      <c r="E42" s="11">
        <v>582.95746332260137</v>
      </c>
      <c r="F42" s="11">
        <v>582.95746332260137</v>
      </c>
      <c r="G42" s="11">
        <v>1024.8552691171349</v>
      </c>
      <c r="H42" s="11">
        <v>415.14210764685402</v>
      </c>
      <c r="I42" s="11">
        <v>415.14210764685402</v>
      </c>
      <c r="J42" s="11">
        <v>543.82159841882458</v>
      </c>
      <c r="K42" s="11">
        <v>543.82159841882458</v>
      </c>
    </row>
    <row r="43" spans="2:15" s="10" customFormat="1" x14ac:dyDescent="0.25">
      <c r="B43" s="11">
        <v>6</v>
      </c>
      <c r="C43" s="11" t="s">
        <v>10</v>
      </c>
      <c r="D43" s="11" t="s">
        <v>9</v>
      </c>
      <c r="E43" s="12" t="s">
        <v>38</v>
      </c>
      <c r="F43" s="12" t="s">
        <v>38</v>
      </c>
      <c r="G43" s="11" t="s">
        <v>53</v>
      </c>
      <c r="H43" s="11" t="s">
        <v>54</v>
      </c>
      <c r="I43" s="11" t="s">
        <v>54</v>
      </c>
      <c r="J43" s="11" t="s">
        <v>49</v>
      </c>
      <c r="K43" s="11" t="s">
        <v>49</v>
      </c>
    </row>
    <row r="44" spans="2:15" s="10" customFormat="1" x14ac:dyDescent="0.25">
      <c r="B44" s="11">
        <v>7</v>
      </c>
      <c r="C44" s="11" t="s">
        <v>11</v>
      </c>
      <c r="D44" s="11" t="s">
        <v>9</v>
      </c>
      <c r="E44" s="12">
        <v>610</v>
      </c>
      <c r="F44" s="12">
        <v>610</v>
      </c>
      <c r="G44" s="11">
        <v>1016</v>
      </c>
      <c r="H44" s="11">
        <v>407</v>
      </c>
      <c r="I44" s="11">
        <v>407</v>
      </c>
      <c r="J44" s="11">
        <v>560</v>
      </c>
      <c r="K44" s="11">
        <v>560</v>
      </c>
    </row>
    <row r="45" spans="2:15" s="10" customFormat="1" x14ac:dyDescent="0.25">
      <c r="B45" s="11">
        <v>8</v>
      </c>
      <c r="C45" s="11" t="s">
        <v>12</v>
      </c>
      <c r="D45" s="11" t="s">
        <v>9</v>
      </c>
      <c r="E45" s="12">
        <v>5</v>
      </c>
      <c r="F45" s="12">
        <v>5</v>
      </c>
      <c r="G45" s="11">
        <v>6</v>
      </c>
      <c r="H45" s="11">
        <v>5</v>
      </c>
      <c r="I45" s="11">
        <v>5</v>
      </c>
      <c r="J45" s="11">
        <v>5</v>
      </c>
      <c r="K45" s="11">
        <v>5</v>
      </c>
    </row>
    <row r="46" spans="2:15" s="10" customFormat="1" x14ac:dyDescent="0.25">
      <c r="B46" s="11">
        <v>9</v>
      </c>
      <c r="C46" s="11" t="s">
        <v>13</v>
      </c>
      <c r="D46" s="11" t="s">
        <v>9</v>
      </c>
      <c r="E46" s="11">
        <v>600</v>
      </c>
      <c r="F46" s="11">
        <v>600</v>
      </c>
      <c r="G46" s="11">
        <v>1004</v>
      </c>
      <c r="H46" s="11">
        <v>397</v>
      </c>
      <c r="I46" s="11">
        <v>397</v>
      </c>
      <c r="J46" s="11">
        <v>550</v>
      </c>
      <c r="K46" s="11">
        <v>550</v>
      </c>
    </row>
    <row r="47" spans="2:15" s="10" customFormat="1" x14ac:dyDescent="0.25">
      <c r="B47" s="11">
        <v>10</v>
      </c>
      <c r="C47" s="11" t="s">
        <v>50</v>
      </c>
      <c r="D47" s="11" t="s">
        <v>35</v>
      </c>
      <c r="E47" s="11">
        <v>7.5445045625296201</v>
      </c>
      <c r="F47" s="11">
        <v>7.5445045625296201</v>
      </c>
      <c r="G47" s="11">
        <v>8.339911194217807</v>
      </c>
      <c r="H47" s="11">
        <v>8.7676422965251817</v>
      </c>
      <c r="I47" s="11">
        <v>8.7676422965251817</v>
      </c>
      <c r="J47" s="11">
        <v>7.8179835099706132</v>
      </c>
      <c r="K47" s="11">
        <v>7.8179835099706132</v>
      </c>
    </row>
    <row r="48" spans="2:15" s="10" customFormat="1" x14ac:dyDescent="0.25">
      <c r="B48" s="11">
        <v>11</v>
      </c>
      <c r="C48" s="11" t="s">
        <v>42</v>
      </c>
      <c r="D48" s="11"/>
      <c r="E48" s="28" t="s">
        <v>55</v>
      </c>
      <c r="F48" s="28" t="s">
        <v>55</v>
      </c>
      <c r="G48" s="11"/>
      <c r="H48" s="11"/>
      <c r="I48" s="11"/>
      <c r="J48" s="11"/>
      <c r="K48" s="11"/>
    </row>
    <row r="49" spans="2:15" s="10" customFormat="1" x14ac:dyDescent="0.25">
      <c r="B49" s="11">
        <v>12</v>
      </c>
      <c r="C49" s="11" t="s">
        <v>43</v>
      </c>
      <c r="D49" s="11" t="s">
        <v>35</v>
      </c>
      <c r="E49" s="11">
        <v>13.143762484255264</v>
      </c>
      <c r="F49" s="11">
        <v>13.143762484255264</v>
      </c>
      <c r="G49" s="11"/>
      <c r="H49" s="11"/>
      <c r="I49" s="11"/>
      <c r="J49" s="11"/>
      <c r="K49" s="11"/>
    </row>
    <row r="50" spans="2:15" s="10" customFormat="1" x14ac:dyDescent="0.25"/>
    <row r="51" spans="2:15" s="10" customFormat="1" x14ac:dyDescent="0.25"/>
    <row r="52" spans="2:15" s="10" customFormat="1" x14ac:dyDescent="0.25">
      <c r="B52" s="11" t="s">
        <v>56</v>
      </c>
      <c r="C52" s="11"/>
      <c r="D52" s="11"/>
      <c r="E52" s="11"/>
      <c r="F52" s="11"/>
      <c r="G52" s="11"/>
      <c r="H52" s="11"/>
      <c r="I52" s="11"/>
      <c r="J52" s="11"/>
      <c r="K52" s="11"/>
      <c r="M52" s="10" t="s">
        <v>62</v>
      </c>
      <c r="N52" s="10" t="s">
        <v>61</v>
      </c>
      <c r="O52" s="10" t="s">
        <v>63</v>
      </c>
    </row>
    <row r="53" spans="2:15" s="10" customFormat="1" x14ac:dyDescent="0.25">
      <c r="B53" s="11" t="s">
        <v>5</v>
      </c>
      <c r="C53" s="11" t="s">
        <v>0</v>
      </c>
      <c r="D53" s="11" t="s">
        <v>6</v>
      </c>
      <c r="E53" s="11" t="s">
        <v>31</v>
      </c>
      <c r="F53" s="11" t="s">
        <v>32</v>
      </c>
      <c r="G53" s="11" t="s">
        <v>33</v>
      </c>
      <c r="H53" s="11" t="s">
        <v>1</v>
      </c>
      <c r="I53" s="11" t="s">
        <v>3</v>
      </c>
      <c r="J53" s="11" t="s">
        <v>2</v>
      </c>
      <c r="K53" s="11" t="s">
        <v>4</v>
      </c>
    </row>
    <row r="54" spans="2:15" s="10" customFormat="1" x14ac:dyDescent="0.25">
      <c r="B54" s="11">
        <v>1</v>
      </c>
      <c r="C54" s="11" t="s">
        <v>34</v>
      </c>
      <c r="D54" s="11" t="s">
        <v>7</v>
      </c>
      <c r="E54" s="11">
        <v>2280</v>
      </c>
      <c r="F54" s="11">
        <v>2280</v>
      </c>
      <c r="G54" s="11">
        <v>6600</v>
      </c>
      <c r="H54" s="11">
        <v>1710</v>
      </c>
      <c r="I54" s="11">
        <v>1710</v>
      </c>
      <c r="J54" s="11">
        <v>2000</v>
      </c>
      <c r="K54" s="11">
        <v>2000</v>
      </c>
      <c r="L54" s="31" t="s">
        <v>64</v>
      </c>
      <c r="M54" s="30">
        <f>E54</f>
        <v>2280</v>
      </c>
      <c r="N54" s="30">
        <f>M54*N$3</f>
        <v>1596</v>
      </c>
      <c r="O54" s="30">
        <f>M54*O$3</f>
        <v>456</v>
      </c>
    </row>
    <row r="55" spans="2:15" s="10" customFormat="1" x14ac:dyDescent="0.25">
      <c r="B55" s="11">
        <v>2</v>
      </c>
      <c r="C55" s="11" t="s">
        <v>8</v>
      </c>
      <c r="D55" s="11" t="s">
        <v>35</v>
      </c>
      <c r="E55" s="11">
        <v>10</v>
      </c>
      <c r="F55" s="11">
        <v>10</v>
      </c>
      <c r="G55" s="11">
        <v>10</v>
      </c>
      <c r="H55" s="11">
        <v>10</v>
      </c>
      <c r="I55" s="11">
        <v>10</v>
      </c>
      <c r="J55" s="11">
        <v>10</v>
      </c>
      <c r="K55" s="11">
        <v>10</v>
      </c>
    </row>
    <row r="56" spans="2:15" s="10" customFormat="1" x14ac:dyDescent="0.25">
      <c r="B56" s="11">
        <v>4</v>
      </c>
      <c r="C56" s="11" t="s">
        <v>36</v>
      </c>
      <c r="D56" s="11" t="s">
        <v>9</v>
      </c>
      <c r="E56" s="11">
        <v>294.04120391268913</v>
      </c>
      <c r="F56" s="11">
        <v>294.04120391268913</v>
      </c>
      <c r="G56" s="11">
        <v>495.265607671792</v>
      </c>
      <c r="H56" s="11">
        <v>255.98689830990469</v>
      </c>
      <c r="I56" s="11">
        <v>255.98689830990469</v>
      </c>
      <c r="J56" s="11">
        <v>276.0289614892074</v>
      </c>
      <c r="K56" s="11">
        <v>276.0289614892074</v>
      </c>
    </row>
    <row r="57" spans="2:15" s="10" customFormat="1" x14ac:dyDescent="0.25">
      <c r="B57" s="11">
        <v>6</v>
      </c>
      <c r="C57" s="11" t="s">
        <v>10</v>
      </c>
      <c r="D57" s="11" t="s">
        <v>9</v>
      </c>
      <c r="E57" s="12" t="s">
        <v>40</v>
      </c>
      <c r="F57" s="12" t="s">
        <v>40</v>
      </c>
      <c r="G57" s="11" t="s">
        <v>48</v>
      </c>
      <c r="H57" s="11" t="s">
        <v>39</v>
      </c>
      <c r="I57" s="11" t="s">
        <v>39</v>
      </c>
      <c r="J57" s="11" t="s">
        <v>40</v>
      </c>
      <c r="K57" s="11" t="s">
        <v>40</v>
      </c>
    </row>
    <row r="58" spans="2:15" s="10" customFormat="1" x14ac:dyDescent="0.25">
      <c r="B58" s="11">
        <v>7</v>
      </c>
      <c r="C58" s="11" t="s">
        <v>11</v>
      </c>
      <c r="D58" s="11" t="s">
        <v>9</v>
      </c>
      <c r="E58" s="12">
        <v>324</v>
      </c>
      <c r="F58" s="12">
        <v>324</v>
      </c>
      <c r="G58" s="11">
        <v>508</v>
      </c>
      <c r="H58" s="11">
        <v>273</v>
      </c>
      <c r="I58" s="11">
        <v>273</v>
      </c>
      <c r="J58" s="11">
        <v>324</v>
      </c>
      <c r="K58" s="11">
        <v>324</v>
      </c>
    </row>
    <row r="59" spans="2:15" s="10" customFormat="1" x14ac:dyDescent="0.25">
      <c r="B59" s="11">
        <v>8</v>
      </c>
      <c r="C59" s="11" t="s">
        <v>12</v>
      </c>
      <c r="D59" s="11" t="s">
        <v>9</v>
      </c>
      <c r="E59" s="12">
        <v>5</v>
      </c>
      <c r="F59" s="12">
        <v>5</v>
      </c>
      <c r="G59" s="11">
        <v>6</v>
      </c>
      <c r="H59" s="11">
        <v>5</v>
      </c>
      <c r="I59" s="11">
        <v>5</v>
      </c>
      <c r="J59" s="11">
        <v>5</v>
      </c>
      <c r="K59" s="11">
        <v>5</v>
      </c>
    </row>
    <row r="60" spans="2:15" s="10" customFormat="1" x14ac:dyDescent="0.25">
      <c r="B60" s="11">
        <v>9</v>
      </c>
      <c r="C60" s="11" t="s">
        <v>13</v>
      </c>
      <c r="D60" s="11" t="s">
        <v>9</v>
      </c>
      <c r="E60" s="11">
        <v>314</v>
      </c>
      <c r="F60" s="11">
        <v>314</v>
      </c>
      <c r="G60" s="11">
        <v>496</v>
      </c>
      <c r="H60" s="11">
        <v>263</v>
      </c>
      <c r="I60" s="11">
        <v>263</v>
      </c>
      <c r="J60" s="11">
        <v>314</v>
      </c>
      <c r="K60" s="11">
        <v>314</v>
      </c>
    </row>
    <row r="61" spans="2:15" s="10" customFormat="1" x14ac:dyDescent="0.25">
      <c r="B61" s="11">
        <v>10</v>
      </c>
      <c r="C61" s="11" t="s">
        <v>41</v>
      </c>
      <c r="D61" s="11" t="s">
        <v>35</v>
      </c>
      <c r="E61" s="11">
        <v>8.7300257011956646</v>
      </c>
      <c r="F61" s="11">
        <v>8.7300257011956646</v>
      </c>
      <c r="G61" s="11">
        <v>9.9696762327704054</v>
      </c>
      <c r="H61" s="11">
        <v>9.4532884657044143</v>
      </c>
      <c r="I61" s="11">
        <v>9.4532884657044143</v>
      </c>
      <c r="J61" s="11">
        <v>7.6579172817505832</v>
      </c>
      <c r="K61" s="11">
        <v>7.6579172817505832</v>
      </c>
    </row>
    <row r="62" spans="2:15" s="10" customFormat="1" x14ac:dyDescent="0.25">
      <c r="B62" s="11">
        <v>11</v>
      </c>
      <c r="C62" s="11" t="s">
        <v>42</v>
      </c>
      <c r="D62" s="11"/>
      <c r="E62" s="28" t="s">
        <v>57</v>
      </c>
      <c r="F62" s="28" t="s">
        <v>57</v>
      </c>
      <c r="G62" s="11"/>
      <c r="H62" s="11"/>
      <c r="I62" s="11"/>
      <c r="J62" s="11"/>
      <c r="K62" s="11"/>
    </row>
    <row r="63" spans="2:15" s="10" customFormat="1" x14ac:dyDescent="0.25">
      <c r="B63" s="11">
        <v>12</v>
      </c>
      <c r="C63" s="11" t="s">
        <v>43</v>
      </c>
      <c r="D63" s="11" t="s">
        <v>35</v>
      </c>
      <c r="E63" s="11">
        <v>18.470137020711487</v>
      </c>
      <c r="F63" s="11">
        <v>18.470137020711487</v>
      </c>
      <c r="G63" s="11"/>
      <c r="H63" s="11"/>
      <c r="I63" s="11"/>
      <c r="J63" s="11"/>
      <c r="K63" s="11"/>
    </row>
    <row r="64" spans="2:15" s="10" customFormat="1" x14ac:dyDescent="0.25">
      <c r="B64" s="11" t="s">
        <v>5</v>
      </c>
      <c r="C64" s="11" t="s">
        <v>0</v>
      </c>
      <c r="D64" s="11" t="s">
        <v>6</v>
      </c>
      <c r="E64" s="11" t="s">
        <v>31</v>
      </c>
      <c r="F64" s="11" t="s">
        <v>32</v>
      </c>
      <c r="G64" s="11" t="s">
        <v>33</v>
      </c>
      <c r="H64" s="11" t="s">
        <v>1</v>
      </c>
      <c r="I64" s="11" t="s">
        <v>3</v>
      </c>
      <c r="J64" s="11" t="s">
        <v>2</v>
      </c>
      <c r="K64" s="11" t="s">
        <v>4</v>
      </c>
    </row>
    <row r="65" spans="2:15" s="10" customFormat="1" x14ac:dyDescent="0.25">
      <c r="B65" s="11">
        <v>1</v>
      </c>
      <c r="C65" s="11" t="s">
        <v>44</v>
      </c>
      <c r="D65" s="11" t="s">
        <v>7</v>
      </c>
      <c r="E65" s="11">
        <v>5875.5599999999995</v>
      </c>
      <c r="F65" s="11">
        <v>5875.5599999999995</v>
      </c>
      <c r="G65" s="11">
        <v>17008.2</v>
      </c>
      <c r="H65" s="11">
        <v>4406.67</v>
      </c>
      <c r="I65" s="11">
        <v>4406.67</v>
      </c>
      <c r="J65" s="11">
        <v>5154</v>
      </c>
      <c r="K65" s="11">
        <v>5154</v>
      </c>
      <c r="L65" s="31" t="s">
        <v>65</v>
      </c>
      <c r="M65" s="30">
        <f>E65</f>
        <v>5875.5599999999995</v>
      </c>
      <c r="N65" s="30">
        <f>M65*N$3</f>
        <v>4112.8919999999998</v>
      </c>
      <c r="O65" s="30">
        <f>M65*O$3</f>
        <v>1175.1119999999999</v>
      </c>
    </row>
    <row r="66" spans="2:15" s="10" customFormat="1" x14ac:dyDescent="0.25">
      <c r="B66" s="11">
        <v>2</v>
      </c>
      <c r="C66" s="11" t="s">
        <v>8</v>
      </c>
      <c r="D66" s="11" t="s">
        <v>35</v>
      </c>
      <c r="E66" s="11">
        <v>8</v>
      </c>
      <c r="F66" s="11">
        <v>8</v>
      </c>
      <c r="G66" s="11">
        <v>8</v>
      </c>
      <c r="H66" s="11">
        <v>8</v>
      </c>
      <c r="I66" s="11">
        <v>8</v>
      </c>
      <c r="J66" s="11">
        <v>8</v>
      </c>
      <c r="K66" s="11">
        <v>8</v>
      </c>
    </row>
    <row r="67" spans="2:15" s="10" customFormat="1" x14ac:dyDescent="0.25">
      <c r="B67" s="11">
        <v>4</v>
      </c>
      <c r="C67" s="11" t="s">
        <v>45</v>
      </c>
      <c r="D67" s="11" t="s">
        <v>9</v>
      </c>
      <c r="E67" s="11">
        <v>519.7926392483979</v>
      </c>
      <c r="F67" s="11">
        <v>519.7926392483979</v>
      </c>
      <c r="G67" s="11">
        <v>879.35743335573727</v>
      </c>
      <c r="H67" s="11">
        <v>451.4933762514284</v>
      </c>
      <c r="I67" s="11">
        <v>451.4933762514284</v>
      </c>
      <c r="J67" s="11">
        <v>487.46455276883444</v>
      </c>
      <c r="K67" s="11">
        <v>487.46455276883444</v>
      </c>
    </row>
    <row r="68" spans="2:15" s="10" customFormat="1" x14ac:dyDescent="0.25">
      <c r="B68" s="11">
        <v>6</v>
      </c>
      <c r="C68" s="11" t="s">
        <v>10</v>
      </c>
      <c r="D68" s="11" t="s">
        <v>9</v>
      </c>
      <c r="E68" s="12" t="s">
        <v>48</v>
      </c>
      <c r="F68" s="12" t="s">
        <v>48</v>
      </c>
      <c r="G68" s="11" t="s">
        <v>58</v>
      </c>
      <c r="H68" s="11" t="s">
        <v>55</v>
      </c>
      <c r="I68" s="11" t="s">
        <v>55</v>
      </c>
      <c r="J68" s="11" t="s">
        <v>48</v>
      </c>
      <c r="K68" s="11" t="s">
        <v>49</v>
      </c>
    </row>
    <row r="69" spans="2:15" s="10" customFormat="1" x14ac:dyDescent="0.25">
      <c r="B69" s="11">
        <v>7</v>
      </c>
      <c r="C69" s="11" t="s">
        <v>11</v>
      </c>
      <c r="D69" s="11" t="s">
        <v>9</v>
      </c>
      <c r="E69" s="12">
        <v>508</v>
      </c>
      <c r="F69" s="12">
        <v>508</v>
      </c>
      <c r="G69" s="11">
        <v>914</v>
      </c>
      <c r="H69" s="11">
        <v>457</v>
      </c>
      <c r="I69" s="11">
        <v>457</v>
      </c>
      <c r="J69" s="11">
        <v>508</v>
      </c>
      <c r="K69" s="11">
        <v>508</v>
      </c>
    </row>
    <row r="70" spans="2:15" s="10" customFormat="1" x14ac:dyDescent="0.25">
      <c r="B70" s="11">
        <v>8</v>
      </c>
      <c r="C70" s="11" t="s">
        <v>12</v>
      </c>
      <c r="D70" s="11" t="s">
        <v>9</v>
      </c>
      <c r="E70" s="12">
        <v>5</v>
      </c>
      <c r="F70" s="12">
        <v>5</v>
      </c>
      <c r="G70" s="11">
        <v>6</v>
      </c>
      <c r="H70" s="11">
        <v>5</v>
      </c>
      <c r="I70" s="11">
        <v>5</v>
      </c>
      <c r="J70" s="11">
        <v>5</v>
      </c>
      <c r="K70" s="11">
        <v>5</v>
      </c>
    </row>
    <row r="71" spans="2:15" s="10" customFormat="1" x14ac:dyDescent="0.25">
      <c r="B71" s="11">
        <v>9</v>
      </c>
      <c r="C71" s="11" t="s">
        <v>13</v>
      </c>
      <c r="D71" s="11" t="s">
        <v>9</v>
      </c>
      <c r="E71" s="11">
        <v>498</v>
      </c>
      <c r="F71" s="11">
        <v>498</v>
      </c>
      <c r="G71" s="11">
        <v>902</v>
      </c>
      <c r="H71" s="11">
        <v>447</v>
      </c>
      <c r="I71" s="11">
        <v>447</v>
      </c>
      <c r="J71" s="11">
        <v>498</v>
      </c>
      <c r="K71" s="11">
        <v>498</v>
      </c>
    </row>
    <row r="72" spans="2:15" s="10" customFormat="1" x14ac:dyDescent="0.25">
      <c r="B72" s="11">
        <v>10</v>
      </c>
      <c r="C72" s="11" t="s">
        <v>50</v>
      </c>
      <c r="D72" s="11" t="s">
        <v>35</v>
      </c>
      <c r="E72" s="11">
        <v>8.730466777474037</v>
      </c>
      <c r="F72" s="11">
        <v>8.730466777474037</v>
      </c>
      <c r="G72" s="11">
        <v>7.5981206130281747</v>
      </c>
      <c r="H72" s="11">
        <v>8.1653630180347747</v>
      </c>
      <c r="I72" s="11">
        <v>8.1653630180347747</v>
      </c>
      <c r="J72" s="11">
        <v>7.6583041907666987</v>
      </c>
      <c r="K72" s="11">
        <v>7.6583041907666987</v>
      </c>
    </row>
    <row r="73" spans="2:15" s="10" customFormat="1" x14ac:dyDescent="0.25">
      <c r="B73" s="11">
        <v>11</v>
      </c>
      <c r="C73" s="11" t="s">
        <v>42</v>
      </c>
      <c r="D73" s="11"/>
      <c r="E73" s="28" t="s">
        <v>54</v>
      </c>
      <c r="F73" s="28" t="s">
        <v>54</v>
      </c>
      <c r="G73" s="11"/>
      <c r="H73" s="11"/>
      <c r="I73" s="11"/>
      <c r="J73" s="11"/>
      <c r="K73" s="11"/>
    </row>
    <row r="74" spans="2:15" s="10" customFormat="1" x14ac:dyDescent="0.25">
      <c r="B74" s="11">
        <v>12</v>
      </c>
      <c r="C74" s="11" t="s">
        <v>43</v>
      </c>
      <c r="D74" s="11" t="s">
        <v>35</v>
      </c>
      <c r="E74" s="11">
        <v>13.191558097918117</v>
      </c>
      <c r="F74" s="11">
        <v>13.191558097918117</v>
      </c>
      <c r="G74" s="11"/>
      <c r="H74" s="11"/>
      <c r="I74" s="11"/>
      <c r="J74" s="11"/>
      <c r="K74" s="11"/>
    </row>
    <row r="75" spans="2:15" s="10" customFormat="1" x14ac:dyDescent="0.25"/>
    <row r="76" spans="2:15" s="10" customFormat="1" x14ac:dyDescent="0.25"/>
    <row r="77" spans="2:15" s="10" customFormat="1" x14ac:dyDescent="0.25"/>
    <row r="78" spans="2:15" s="10" customFormat="1" x14ac:dyDescent="0.25">
      <c r="B78" s="11" t="s">
        <v>59</v>
      </c>
      <c r="C78" s="11"/>
      <c r="D78" s="11"/>
      <c r="E78" s="11"/>
      <c r="F78" s="11"/>
      <c r="G78" s="11"/>
      <c r="H78" s="11"/>
      <c r="I78" s="11"/>
      <c r="J78" s="11"/>
      <c r="K78" s="11"/>
      <c r="M78" s="10" t="s">
        <v>62</v>
      </c>
      <c r="N78" s="10" t="s">
        <v>61</v>
      </c>
      <c r="O78" s="10" t="s">
        <v>63</v>
      </c>
    </row>
    <row r="79" spans="2:15" s="10" customFormat="1" x14ac:dyDescent="0.25">
      <c r="B79" s="11" t="s">
        <v>5</v>
      </c>
      <c r="C79" s="11" t="s">
        <v>0</v>
      </c>
      <c r="D79" s="11" t="s">
        <v>6</v>
      </c>
      <c r="E79" s="11" t="s">
        <v>31</v>
      </c>
      <c r="F79" s="11" t="s">
        <v>32</v>
      </c>
      <c r="G79" s="11" t="s">
        <v>33</v>
      </c>
      <c r="H79" s="11" t="s">
        <v>1</v>
      </c>
      <c r="I79" s="11" t="s">
        <v>3</v>
      </c>
      <c r="J79" s="11" t="s">
        <v>2</v>
      </c>
      <c r="K79" s="11" t="s">
        <v>4</v>
      </c>
    </row>
    <row r="80" spans="2:15" s="10" customFormat="1" x14ac:dyDescent="0.25">
      <c r="B80" s="11">
        <v>1</v>
      </c>
      <c r="C80" s="11" t="s">
        <v>34</v>
      </c>
      <c r="D80" s="11" t="s">
        <v>7</v>
      </c>
      <c r="E80" s="11">
        <v>3000</v>
      </c>
      <c r="F80" s="11">
        <v>3000</v>
      </c>
      <c r="G80" s="11">
        <v>8800</v>
      </c>
      <c r="H80" s="11">
        <v>2280</v>
      </c>
      <c r="I80" s="11">
        <v>2280</v>
      </c>
      <c r="J80" s="11">
        <v>2560</v>
      </c>
      <c r="K80" s="11">
        <v>2560</v>
      </c>
      <c r="L80" s="31" t="s">
        <v>64</v>
      </c>
      <c r="M80" s="30">
        <f>E80</f>
        <v>3000</v>
      </c>
      <c r="N80" s="30">
        <f>M80*N$3</f>
        <v>2100</v>
      </c>
      <c r="O80" s="30">
        <f>M80*O$3</f>
        <v>600</v>
      </c>
    </row>
    <row r="81" spans="2:15" s="10" customFormat="1" x14ac:dyDescent="0.25">
      <c r="B81" s="11">
        <v>2</v>
      </c>
      <c r="C81" s="11" t="s">
        <v>8</v>
      </c>
      <c r="D81" s="11" t="s">
        <v>35</v>
      </c>
      <c r="E81" s="11">
        <v>10</v>
      </c>
      <c r="F81" s="11">
        <v>10</v>
      </c>
      <c r="G81" s="11">
        <v>10</v>
      </c>
      <c r="H81" s="11">
        <v>10</v>
      </c>
      <c r="I81" s="11">
        <v>10</v>
      </c>
      <c r="J81" s="11">
        <v>10</v>
      </c>
      <c r="K81" s="11">
        <v>10</v>
      </c>
    </row>
    <row r="82" spans="2:15" s="10" customFormat="1" x14ac:dyDescent="0.25">
      <c r="B82" s="11">
        <v>4</v>
      </c>
      <c r="C82" s="11" t="s">
        <v>36</v>
      </c>
      <c r="D82" s="11" t="s">
        <v>9</v>
      </c>
      <c r="E82" s="11">
        <v>335.8176062255373</v>
      </c>
      <c r="F82" s="11">
        <v>335.8176062255373</v>
      </c>
      <c r="G82" s="11">
        <v>570.02705735879442</v>
      </c>
      <c r="H82" s="11">
        <v>294.04120391268913</v>
      </c>
      <c r="I82" s="11">
        <v>294.04120391268913</v>
      </c>
      <c r="J82" s="11">
        <v>310.9774122576535</v>
      </c>
      <c r="K82" s="11">
        <v>310.9774122576535</v>
      </c>
    </row>
    <row r="83" spans="2:15" s="10" customFormat="1" x14ac:dyDescent="0.25">
      <c r="B83" s="11">
        <v>6</v>
      </c>
      <c r="C83" s="11" t="s">
        <v>10</v>
      </c>
      <c r="D83" s="11" t="s">
        <v>9</v>
      </c>
      <c r="E83" s="12" t="s">
        <v>40</v>
      </c>
      <c r="F83" s="12" t="s">
        <v>40</v>
      </c>
      <c r="G83" s="11" t="s">
        <v>38</v>
      </c>
      <c r="H83" s="11" t="s">
        <v>40</v>
      </c>
      <c r="I83" s="11" t="s">
        <v>40</v>
      </c>
      <c r="J83" s="11" t="s">
        <v>40</v>
      </c>
      <c r="K83" s="11" t="s">
        <v>40</v>
      </c>
    </row>
    <row r="84" spans="2:15" s="10" customFormat="1" x14ac:dyDescent="0.25">
      <c r="B84" s="11">
        <v>7</v>
      </c>
      <c r="C84" s="11" t="s">
        <v>11</v>
      </c>
      <c r="D84" s="11" t="s">
        <v>9</v>
      </c>
      <c r="E84" s="12">
        <v>324</v>
      </c>
      <c r="F84" s="12">
        <v>324</v>
      </c>
      <c r="G84" s="11">
        <v>610</v>
      </c>
      <c r="H84" s="11">
        <v>324</v>
      </c>
      <c r="I84" s="11">
        <v>324</v>
      </c>
      <c r="J84" s="11">
        <v>324</v>
      </c>
      <c r="K84" s="11">
        <v>324</v>
      </c>
    </row>
    <row r="85" spans="2:15" s="10" customFormat="1" x14ac:dyDescent="0.25">
      <c r="B85" s="11">
        <v>8</v>
      </c>
      <c r="C85" s="11" t="s">
        <v>12</v>
      </c>
      <c r="D85" s="11" t="s">
        <v>9</v>
      </c>
      <c r="E85" s="12">
        <v>5</v>
      </c>
      <c r="F85" s="12">
        <v>5</v>
      </c>
      <c r="G85" s="11">
        <v>6</v>
      </c>
      <c r="H85" s="11">
        <v>5</v>
      </c>
      <c r="I85" s="11">
        <v>5</v>
      </c>
      <c r="J85" s="11">
        <v>5</v>
      </c>
      <c r="K85" s="11">
        <v>5</v>
      </c>
    </row>
    <row r="86" spans="2:15" s="10" customFormat="1" x14ac:dyDescent="0.25">
      <c r="B86" s="11">
        <v>9</v>
      </c>
      <c r="C86" s="11" t="s">
        <v>13</v>
      </c>
      <c r="D86" s="11" t="s">
        <v>9</v>
      </c>
      <c r="E86" s="11">
        <v>314</v>
      </c>
      <c r="F86" s="11">
        <v>314</v>
      </c>
      <c r="G86" s="11">
        <v>598</v>
      </c>
      <c r="H86" s="11">
        <v>314</v>
      </c>
      <c r="I86" s="11">
        <v>314</v>
      </c>
      <c r="J86" s="11">
        <v>314</v>
      </c>
      <c r="K86" s="11">
        <v>314</v>
      </c>
    </row>
    <row r="87" spans="2:15" s="10" customFormat="1" x14ac:dyDescent="0.25">
      <c r="B87" s="11">
        <v>10</v>
      </c>
      <c r="C87" s="11" t="s">
        <v>41</v>
      </c>
      <c r="D87" s="11" t="s">
        <v>35</v>
      </c>
      <c r="E87" s="11">
        <v>11.486875922625876</v>
      </c>
      <c r="F87" s="11">
        <v>11.486875922625876</v>
      </c>
      <c r="G87" s="11">
        <v>9.0680787412932951</v>
      </c>
      <c r="H87" s="11">
        <v>8.7300257011956646</v>
      </c>
      <c r="I87" s="11">
        <v>8.7300257011956646</v>
      </c>
      <c r="J87" s="11">
        <v>9.802134120640746</v>
      </c>
      <c r="K87" s="11">
        <v>9.802134120640746</v>
      </c>
    </row>
    <row r="88" spans="2:15" s="10" customFormat="1" x14ac:dyDescent="0.25">
      <c r="B88" s="11">
        <v>11</v>
      </c>
      <c r="C88" s="11" t="s">
        <v>42</v>
      </c>
      <c r="D88" s="11"/>
      <c r="E88" s="28" t="s">
        <v>39</v>
      </c>
      <c r="F88" s="28" t="s">
        <v>39</v>
      </c>
      <c r="G88" s="11"/>
      <c r="H88" s="11"/>
      <c r="I88" s="11"/>
      <c r="J88" s="11"/>
      <c r="K88" s="11"/>
    </row>
    <row r="89" spans="2:15" s="10" customFormat="1" x14ac:dyDescent="0.25">
      <c r="B89" s="11">
        <v>12</v>
      </c>
      <c r="C89" s="11" t="s">
        <v>43</v>
      </c>
      <c r="D89" s="11" t="s">
        <v>35</v>
      </c>
      <c r="E89" s="11">
        <v>15.347498521959153</v>
      </c>
      <c r="F89" s="11">
        <v>15.347498521959153</v>
      </c>
      <c r="G89" s="11"/>
      <c r="H89" s="11"/>
      <c r="I89" s="11"/>
      <c r="J89" s="11"/>
      <c r="K89" s="11"/>
    </row>
    <row r="90" spans="2:15" s="10" customFormat="1" x14ac:dyDescent="0.25">
      <c r="B90" s="11" t="s">
        <v>5</v>
      </c>
      <c r="C90" s="11" t="s">
        <v>0</v>
      </c>
      <c r="D90" s="11" t="s">
        <v>6</v>
      </c>
      <c r="E90" s="11" t="s">
        <v>31</v>
      </c>
      <c r="F90" s="11" t="s">
        <v>32</v>
      </c>
      <c r="G90" s="11" t="s">
        <v>33</v>
      </c>
      <c r="H90" s="11" t="s">
        <v>1</v>
      </c>
      <c r="I90" s="11" t="s">
        <v>3</v>
      </c>
      <c r="J90" s="11" t="s">
        <v>2</v>
      </c>
      <c r="K90" s="11" t="s">
        <v>4</v>
      </c>
    </row>
    <row r="91" spans="2:15" s="10" customFormat="1" x14ac:dyDescent="0.25">
      <c r="B91" s="11">
        <v>1</v>
      </c>
      <c r="C91" s="11" t="s">
        <v>44</v>
      </c>
      <c r="D91" s="11" t="s">
        <v>7</v>
      </c>
      <c r="E91" s="11">
        <v>7731</v>
      </c>
      <c r="F91" s="11">
        <v>7731</v>
      </c>
      <c r="G91" s="11">
        <v>22677.599999999999</v>
      </c>
      <c r="H91" s="11">
        <v>5875.5599999999995</v>
      </c>
      <c r="I91" s="11">
        <v>5875.5599999999995</v>
      </c>
      <c r="J91" s="11">
        <v>6597.12</v>
      </c>
      <c r="K91" s="11">
        <v>6597.12</v>
      </c>
      <c r="L91" s="31" t="s">
        <v>65</v>
      </c>
      <c r="M91" s="30">
        <f>E91</f>
        <v>7731</v>
      </c>
      <c r="N91" s="30">
        <f>M91*N$3</f>
        <v>5411.7</v>
      </c>
      <c r="O91" s="30">
        <f>M91*O$3</f>
        <v>1546.2</v>
      </c>
    </row>
    <row r="92" spans="2:15" s="10" customFormat="1" x14ac:dyDescent="0.25">
      <c r="B92" s="11">
        <v>2</v>
      </c>
      <c r="C92" s="11" t="s">
        <v>8</v>
      </c>
      <c r="D92" s="11" t="s">
        <v>35</v>
      </c>
      <c r="E92" s="11">
        <v>8</v>
      </c>
      <c r="F92" s="11">
        <v>8</v>
      </c>
      <c r="G92" s="11">
        <v>8</v>
      </c>
      <c r="H92" s="11">
        <v>8</v>
      </c>
      <c r="I92" s="11">
        <v>8</v>
      </c>
      <c r="J92" s="11">
        <v>8</v>
      </c>
      <c r="K92" s="11">
        <v>8</v>
      </c>
    </row>
    <row r="93" spans="2:15" s="10" customFormat="1" x14ac:dyDescent="0.25">
      <c r="B93" s="11">
        <v>4</v>
      </c>
      <c r="C93" s="11" t="s">
        <v>45</v>
      </c>
      <c r="D93" s="11" t="s">
        <v>9</v>
      </c>
      <c r="E93" s="11">
        <v>594.77226227490871</v>
      </c>
      <c r="F93" s="11">
        <v>594.77226227490871</v>
      </c>
      <c r="G93" s="11">
        <v>1013.5380952631157</v>
      </c>
      <c r="H93" s="11">
        <v>519.7926392483979</v>
      </c>
      <c r="I93" s="11">
        <v>519.7926392483979</v>
      </c>
      <c r="J93" s="11">
        <v>550.18947686247202</v>
      </c>
      <c r="K93" s="11">
        <v>550.18947686247202</v>
      </c>
    </row>
    <row r="94" spans="2:15" s="10" customFormat="1" x14ac:dyDescent="0.25">
      <c r="B94" s="11">
        <v>6</v>
      </c>
      <c r="C94" s="11" t="s">
        <v>10</v>
      </c>
      <c r="D94" s="11" t="s">
        <v>9</v>
      </c>
      <c r="E94" s="12" t="s">
        <v>38</v>
      </c>
      <c r="F94" s="12" t="s">
        <v>38</v>
      </c>
      <c r="G94" s="11" t="s">
        <v>53</v>
      </c>
      <c r="H94" s="11" t="s">
        <v>55</v>
      </c>
      <c r="I94" s="11" t="s">
        <v>55</v>
      </c>
      <c r="J94" s="11" t="s">
        <v>49</v>
      </c>
      <c r="K94" s="11" t="s">
        <v>49</v>
      </c>
    </row>
    <row r="95" spans="2:15" s="10" customFormat="1" x14ac:dyDescent="0.25">
      <c r="B95" s="11">
        <v>7</v>
      </c>
      <c r="C95" s="11" t="s">
        <v>11</v>
      </c>
      <c r="D95" s="11" t="s">
        <v>9</v>
      </c>
      <c r="E95" s="12">
        <v>610</v>
      </c>
      <c r="F95" s="12">
        <v>610</v>
      </c>
      <c r="G95" s="11">
        <v>1016</v>
      </c>
      <c r="H95" s="11">
        <v>457</v>
      </c>
      <c r="I95" s="11">
        <v>457</v>
      </c>
      <c r="J95" s="11">
        <v>560</v>
      </c>
      <c r="K95" s="11">
        <v>560</v>
      </c>
    </row>
    <row r="96" spans="2:15" s="10" customFormat="1" x14ac:dyDescent="0.25">
      <c r="B96" s="11">
        <v>8</v>
      </c>
      <c r="C96" s="11" t="s">
        <v>12</v>
      </c>
      <c r="D96" s="11" t="s">
        <v>9</v>
      </c>
      <c r="E96" s="12">
        <v>5</v>
      </c>
      <c r="F96" s="12">
        <v>5</v>
      </c>
      <c r="G96" s="11">
        <v>6</v>
      </c>
      <c r="H96" s="11">
        <v>5</v>
      </c>
      <c r="I96" s="11">
        <v>5</v>
      </c>
      <c r="J96" s="11">
        <v>5</v>
      </c>
      <c r="K96" s="11">
        <v>5</v>
      </c>
    </row>
    <row r="97" spans="2:11" s="10" customFormat="1" x14ac:dyDescent="0.25">
      <c r="B97" s="11">
        <v>9</v>
      </c>
      <c r="C97" s="11" t="s">
        <v>13</v>
      </c>
      <c r="D97" s="11" t="s">
        <v>9</v>
      </c>
      <c r="E97" s="11">
        <v>600</v>
      </c>
      <c r="F97" s="11">
        <v>600</v>
      </c>
      <c r="G97" s="11">
        <v>1004</v>
      </c>
      <c r="H97" s="11">
        <v>447</v>
      </c>
      <c r="I97" s="11">
        <v>447</v>
      </c>
      <c r="J97" s="11">
        <v>550</v>
      </c>
      <c r="K97" s="11">
        <v>550</v>
      </c>
    </row>
    <row r="98" spans="2:11" s="10" customFormat="1" x14ac:dyDescent="0.25">
      <c r="B98" s="11">
        <v>10</v>
      </c>
      <c r="C98" s="11" t="s">
        <v>50</v>
      </c>
      <c r="D98" s="11" t="s">
        <v>35</v>
      </c>
      <c r="E98" s="11">
        <v>7.8588589193016878</v>
      </c>
      <c r="F98" s="11">
        <v>7.8588589193016878</v>
      </c>
      <c r="G98" s="11">
        <v>8.1545798343463005</v>
      </c>
      <c r="H98" s="11">
        <v>10.887150690713032</v>
      </c>
      <c r="I98" s="11">
        <v>10.887150690713032</v>
      </c>
      <c r="J98" s="11">
        <v>8.0056151142099079</v>
      </c>
      <c r="K98" s="11">
        <v>8.0056151142099079</v>
      </c>
    </row>
    <row r="99" spans="2:11" s="10" customFormat="1" x14ac:dyDescent="0.25">
      <c r="B99" s="11">
        <v>11</v>
      </c>
      <c r="C99" s="11" t="s">
        <v>42</v>
      </c>
      <c r="D99" s="11"/>
      <c r="E99" s="28" t="s">
        <v>55</v>
      </c>
      <c r="F99" s="28" t="s">
        <v>55</v>
      </c>
      <c r="G99" s="11"/>
      <c r="H99" s="11"/>
      <c r="I99" s="11"/>
      <c r="J99" s="11"/>
      <c r="K99" s="11"/>
    </row>
    <row r="100" spans="2:11" s="10" customFormat="1" x14ac:dyDescent="0.25">
      <c r="B100" s="11">
        <v>12</v>
      </c>
      <c r="C100" s="11" t="s">
        <v>43</v>
      </c>
      <c r="D100" s="11" t="s">
        <v>35</v>
      </c>
      <c r="E100" s="11">
        <v>13.691419254432567</v>
      </c>
      <c r="F100" s="11">
        <v>13.691419254432567</v>
      </c>
      <c r="G100" s="11"/>
      <c r="H100" s="11"/>
      <c r="I100" s="11"/>
      <c r="J100" s="11"/>
      <c r="K100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M61"/>
  <sheetViews>
    <sheetView topLeftCell="A45" workbookViewId="0">
      <selection activeCell="P20" sqref="P20"/>
    </sheetView>
  </sheetViews>
  <sheetFormatPr defaultRowHeight="13.8" x14ac:dyDescent="0.25"/>
  <sheetData>
    <row r="1" spans="1:13" ht="28.5" customHeight="1" x14ac:dyDescent="0.25">
      <c r="A1" s="17" t="s">
        <v>14</v>
      </c>
      <c r="B1" s="17"/>
      <c r="C1" s="17"/>
      <c r="D1" s="17"/>
      <c r="E1" s="17"/>
      <c r="F1" s="17"/>
      <c r="G1" s="17"/>
      <c r="H1" s="17"/>
      <c r="I1" s="17"/>
      <c r="J1" s="1"/>
      <c r="K1" s="1"/>
      <c r="L1" s="1"/>
      <c r="M1" s="1"/>
    </row>
    <row r="2" spans="1:13" ht="15.6" x14ac:dyDescent="0.25">
      <c r="A2" s="18" t="s">
        <v>5</v>
      </c>
      <c r="B2" s="2" t="s">
        <v>15</v>
      </c>
      <c r="C2" s="18" t="s">
        <v>16</v>
      </c>
      <c r="D2" s="19" t="s">
        <v>17</v>
      </c>
      <c r="E2" s="21" t="s">
        <v>18</v>
      </c>
      <c r="F2" s="23" t="s">
        <v>19</v>
      </c>
      <c r="G2" s="24" t="s">
        <v>20</v>
      </c>
      <c r="H2" s="26" t="s">
        <v>21</v>
      </c>
      <c r="I2" s="18" t="s">
        <v>22</v>
      </c>
      <c r="J2" s="1"/>
      <c r="K2" s="1"/>
      <c r="L2" s="1"/>
      <c r="M2" s="1"/>
    </row>
    <row r="3" spans="1:13" ht="15.6" x14ac:dyDescent="0.25">
      <c r="A3" s="18"/>
      <c r="B3" s="3" t="s">
        <v>23</v>
      </c>
      <c r="C3" s="18"/>
      <c r="D3" s="20"/>
      <c r="E3" s="22"/>
      <c r="F3" s="20"/>
      <c r="G3" s="25"/>
      <c r="H3" s="27"/>
      <c r="I3" s="18"/>
      <c r="J3" s="1"/>
      <c r="K3" s="1"/>
      <c r="L3" s="1"/>
      <c r="M3" s="1"/>
    </row>
    <row r="4" spans="1:13" ht="15.6" x14ac:dyDescent="0.25">
      <c r="A4" s="4">
        <v>1</v>
      </c>
      <c r="B4" s="4">
        <v>10</v>
      </c>
      <c r="C4" s="4" t="s">
        <v>24</v>
      </c>
      <c r="D4" s="4">
        <v>17.2</v>
      </c>
      <c r="E4" s="5">
        <v>2.5</v>
      </c>
      <c r="F4" s="4">
        <v>2.5</v>
      </c>
      <c r="G4" s="6">
        <v>2.5</v>
      </c>
      <c r="H4" s="4">
        <v>2.5</v>
      </c>
      <c r="I4" s="4"/>
      <c r="J4" s="1"/>
      <c r="K4" s="1"/>
      <c r="L4" s="1"/>
      <c r="M4" s="1"/>
    </row>
    <row r="5" spans="1:13" ht="15.6" x14ac:dyDescent="0.25">
      <c r="A5" s="4">
        <v>2</v>
      </c>
      <c r="B5" s="4">
        <v>15</v>
      </c>
      <c r="C5" s="4" t="s">
        <v>24</v>
      </c>
      <c r="D5" s="4">
        <v>21.3</v>
      </c>
      <c r="E5" s="5">
        <v>2.8</v>
      </c>
      <c r="F5" s="4">
        <v>2.8</v>
      </c>
      <c r="G5" s="6">
        <v>2.8</v>
      </c>
      <c r="H5" s="4">
        <v>2.8</v>
      </c>
      <c r="I5" s="4"/>
      <c r="J5" s="1"/>
      <c r="K5" s="1"/>
      <c r="L5" s="1"/>
      <c r="M5" s="1"/>
    </row>
    <row r="6" spans="1:13" ht="15.6" x14ac:dyDescent="0.25">
      <c r="A6" s="4">
        <v>3</v>
      </c>
      <c r="B6" s="4">
        <v>20</v>
      </c>
      <c r="C6" s="4" t="s">
        <v>24</v>
      </c>
      <c r="D6" s="4">
        <v>26.9</v>
      </c>
      <c r="E6" s="5">
        <v>2.8</v>
      </c>
      <c r="F6" s="4">
        <v>2.8</v>
      </c>
      <c r="G6" s="6">
        <v>2.8</v>
      </c>
      <c r="H6" s="4">
        <v>2.8</v>
      </c>
      <c r="I6" s="4"/>
      <c r="J6" s="1"/>
      <c r="K6" s="1"/>
      <c r="L6" s="1"/>
      <c r="M6" s="1"/>
    </row>
    <row r="7" spans="1:13" ht="15.6" x14ac:dyDescent="0.25">
      <c r="A7" s="4">
        <v>4</v>
      </c>
      <c r="B7" s="4">
        <v>25</v>
      </c>
      <c r="C7" s="4" t="s">
        <v>24</v>
      </c>
      <c r="D7" s="4">
        <v>33.700000000000003</v>
      </c>
      <c r="E7" s="5">
        <v>3.2</v>
      </c>
      <c r="F7" s="4">
        <v>3.2</v>
      </c>
      <c r="G7" s="6">
        <v>3.2</v>
      </c>
      <c r="H7" s="4">
        <v>3.2</v>
      </c>
      <c r="I7" s="4"/>
      <c r="J7" s="1"/>
      <c r="K7" s="1"/>
      <c r="L7" s="1"/>
      <c r="M7" s="1"/>
    </row>
    <row r="8" spans="1:13" ht="15.6" x14ac:dyDescent="0.25">
      <c r="A8" s="4">
        <v>5</v>
      </c>
      <c r="B8" s="4">
        <v>32</v>
      </c>
      <c r="C8" s="4" t="s">
        <v>24</v>
      </c>
      <c r="D8" s="4">
        <v>42.4</v>
      </c>
      <c r="E8" s="5">
        <v>3.5</v>
      </c>
      <c r="F8" s="4">
        <v>3.5</v>
      </c>
      <c r="G8" s="6">
        <v>3.5</v>
      </c>
      <c r="H8" s="4">
        <v>3.5</v>
      </c>
      <c r="I8" s="4"/>
      <c r="J8" s="1"/>
      <c r="K8" s="1"/>
      <c r="L8" s="1"/>
      <c r="M8" s="1"/>
    </row>
    <row r="9" spans="1:13" ht="15.6" x14ac:dyDescent="0.25">
      <c r="A9" s="4">
        <v>6</v>
      </c>
      <c r="B9" s="4">
        <v>40</v>
      </c>
      <c r="C9" s="4" t="s">
        <v>24</v>
      </c>
      <c r="D9" s="4">
        <v>48.3</v>
      </c>
      <c r="E9" s="5">
        <v>3.5</v>
      </c>
      <c r="F9" s="4">
        <v>3.5</v>
      </c>
      <c r="G9" s="6">
        <v>3.5</v>
      </c>
      <c r="H9" s="4">
        <v>3.5</v>
      </c>
      <c r="I9" s="4"/>
      <c r="J9" s="1"/>
      <c r="K9" s="1"/>
      <c r="L9" s="1"/>
      <c r="M9" s="1"/>
    </row>
    <row r="10" spans="1:13" ht="15.6" x14ac:dyDescent="0.25">
      <c r="A10" s="4">
        <v>7</v>
      </c>
      <c r="B10" s="4">
        <v>50</v>
      </c>
      <c r="C10" s="4" t="s">
        <v>24</v>
      </c>
      <c r="D10" s="4">
        <v>60.3</v>
      </c>
      <c r="E10" s="5">
        <v>3.8</v>
      </c>
      <c r="F10" s="4">
        <v>3.8</v>
      </c>
      <c r="G10" s="6">
        <v>3.8</v>
      </c>
      <c r="H10" s="4">
        <v>3.8</v>
      </c>
      <c r="I10" s="4"/>
      <c r="J10" s="1"/>
      <c r="K10" s="1"/>
      <c r="L10" s="1"/>
      <c r="M10" s="1"/>
    </row>
    <row r="11" spans="1:13" ht="15.6" x14ac:dyDescent="0.25">
      <c r="A11" s="4">
        <v>8</v>
      </c>
      <c r="B11" s="4">
        <v>65</v>
      </c>
      <c r="C11" s="4" t="s">
        <v>24</v>
      </c>
      <c r="D11" s="4">
        <v>76.099999999999994</v>
      </c>
      <c r="E11" s="5">
        <v>4</v>
      </c>
      <c r="F11" s="4">
        <v>4</v>
      </c>
      <c r="G11" s="6">
        <v>4</v>
      </c>
      <c r="H11" s="4">
        <v>4</v>
      </c>
      <c r="I11" s="4"/>
      <c r="J11" s="1"/>
      <c r="K11" s="1"/>
      <c r="L11" s="1"/>
      <c r="M11" s="1"/>
    </row>
    <row r="12" spans="1:13" ht="15.6" x14ac:dyDescent="0.25">
      <c r="A12" s="4">
        <v>9</v>
      </c>
      <c r="B12" s="4">
        <v>80</v>
      </c>
      <c r="C12" s="4" t="s">
        <v>24</v>
      </c>
      <c r="D12" s="4">
        <v>88.9</v>
      </c>
      <c r="E12" s="5">
        <v>4</v>
      </c>
      <c r="F12" s="4">
        <v>4</v>
      </c>
      <c r="G12" s="6">
        <v>4</v>
      </c>
      <c r="H12" s="4">
        <v>4</v>
      </c>
      <c r="I12" s="4"/>
      <c r="J12" s="1"/>
      <c r="K12" s="1"/>
      <c r="L12" s="1"/>
      <c r="M12" s="1"/>
    </row>
    <row r="13" spans="1:13" ht="15.6" x14ac:dyDescent="0.25">
      <c r="A13" s="4">
        <v>10</v>
      </c>
      <c r="B13" s="4">
        <v>100</v>
      </c>
      <c r="C13" s="4" t="s">
        <v>24</v>
      </c>
      <c r="D13" s="4">
        <v>114.3</v>
      </c>
      <c r="E13" s="5">
        <v>4</v>
      </c>
      <c r="F13" s="4">
        <v>4</v>
      </c>
      <c r="G13" s="6">
        <v>4</v>
      </c>
      <c r="H13" s="4">
        <v>4</v>
      </c>
      <c r="I13" s="4"/>
      <c r="J13" s="1"/>
      <c r="K13" s="1"/>
      <c r="L13" s="1"/>
      <c r="M13" s="1"/>
    </row>
    <row r="14" spans="1:13" ht="15.6" x14ac:dyDescent="0.25">
      <c r="A14" s="4">
        <v>11</v>
      </c>
      <c r="B14" s="4">
        <v>125</v>
      </c>
      <c r="C14" s="4" t="s">
        <v>24</v>
      </c>
      <c r="D14" s="4">
        <v>139.69999999999999</v>
      </c>
      <c r="E14" s="5">
        <v>4</v>
      </c>
      <c r="F14" s="4">
        <v>4</v>
      </c>
      <c r="G14" s="6">
        <v>4</v>
      </c>
      <c r="H14" s="4">
        <v>4</v>
      </c>
      <c r="I14" s="4"/>
      <c r="J14" s="1"/>
      <c r="K14" s="7"/>
      <c r="L14" s="13" t="s">
        <v>25</v>
      </c>
      <c r="M14" s="13"/>
    </row>
    <row r="15" spans="1:13" ht="15.6" x14ac:dyDescent="0.25">
      <c r="A15" s="4">
        <v>12</v>
      </c>
      <c r="B15" s="4">
        <v>150</v>
      </c>
      <c r="C15" s="4" t="s">
        <v>24</v>
      </c>
      <c r="D15" s="4">
        <v>168.3</v>
      </c>
      <c r="E15" s="5">
        <v>4.5</v>
      </c>
      <c r="F15" s="4">
        <v>4.5</v>
      </c>
      <c r="G15" s="6">
        <v>4.5</v>
      </c>
      <c r="H15" s="4">
        <v>4.5</v>
      </c>
      <c r="I15" s="4"/>
      <c r="J15" s="1"/>
      <c r="K15" s="8"/>
      <c r="L15" s="13" t="s">
        <v>26</v>
      </c>
      <c r="M15" s="13"/>
    </row>
    <row r="16" spans="1:13" ht="15.6" x14ac:dyDescent="0.25">
      <c r="A16" s="4">
        <v>13</v>
      </c>
      <c r="B16" s="4">
        <v>175</v>
      </c>
      <c r="C16" s="4" t="s">
        <v>24</v>
      </c>
      <c r="D16" s="4">
        <v>193.7</v>
      </c>
      <c r="E16" s="5">
        <v>5</v>
      </c>
      <c r="F16" s="4">
        <v>4</v>
      </c>
      <c r="G16" s="6">
        <v>4</v>
      </c>
      <c r="H16" s="4">
        <v>3.1</v>
      </c>
      <c r="I16" s="4" t="s">
        <v>27</v>
      </c>
      <c r="J16" s="1"/>
      <c r="K16" s="1"/>
      <c r="L16" s="1"/>
      <c r="M16" s="1"/>
    </row>
    <row r="17" spans="1:9" ht="18" customHeight="1" x14ac:dyDescent="0.25">
      <c r="A17" s="4">
        <v>14</v>
      </c>
      <c r="B17" s="4">
        <v>200</v>
      </c>
      <c r="C17" s="4" t="s">
        <v>24</v>
      </c>
      <c r="D17" s="4">
        <v>219.1</v>
      </c>
      <c r="E17" s="5">
        <v>5</v>
      </c>
      <c r="F17" s="4">
        <v>4</v>
      </c>
      <c r="G17" s="6">
        <v>4</v>
      </c>
      <c r="H17" s="4">
        <v>3.1</v>
      </c>
      <c r="I17" s="4"/>
    </row>
    <row r="18" spans="1:9" ht="18" customHeight="1" x14ac:dyDescent="0.25">
      <c r="A18" s="4">
        <v>15</v>
      </c>
      <c r="B18" s="4">
        <v>225</v>
      </c>
      <c r="C18" s="4" t="s">
        <v>24</v>
      </c>
      <c r="D18" s="4">
        <v>244.5</v>
      </c>
      <c r="E18" s="5">
        <v>5</v>
      </c>
      <c r="F18" s="4">
        <v>4</v>
      </c>
      <c r="G18" s="6">
        <v>4</v>
      </c>
      <c r="H18" s="4">
        <v>3.1</v>
      </c>
      <c r="I18" s="4" t="s">
        <v>27</v>
      </c>
    </row>
    <row r="19" spans="1:9" ht="18" customHeight="1" x14ac:dyDescent="0.25">
      <c r="A19" s="4">
        <v>16</v>
      </c>
      <c r="B19" s="4">
        <v>250</v>
      </c>
      <c r="C19" s="4" t="s">
        <v>24</v>
      </c>
      <c r="D19" s="4">
        <v>273.10000000000002</v>
      </c>
      <c r="E19" s="5">
        <v>5</v>
      </c>
      <c r="F19" s="4">
        <v>4</v>
      </c>
      <c r="G19" s="6">
        <v>4</v>
      </c>
      <c r="H19" s="4">
        <v>3.1</v>
      </c>
      <c r="I19" s="4"/>
    </row>
    <row r="20" spans="1:9" ht="18" customHeight="1" x14ac:dyDescent="0.25">
      <c r="A20" s="4">
        <v>17</v>
      </c>
      <c r="B20" s="4">
        <v>300</v>
      </c>
      <c r="C20" s="4" t="s">
        <v>24</v>
      </c>
      <c r="D20" s="4">
        <v>323.89999999999998</v>
      </c>
      <c r="E20" s="5">
        <v>5</v>
      </c>
      <c r="F20" s="4">
        <v>4</v>
      </c>
      <c r="G20" s="6">
        <v>4</v>
      </c>
      <c r="H20" s="4">
        <v>3.1</v>
      </c>
      <c r="I20" s="4"/>
    </row>
    <row r="21" spans="1:9" ht="18" customHeight="1" x14ac:dyDescent="0.25">
      <c r="A21" s="4">
        <v>18</v>
      </c>
      <c r="B21" s="4">
        <v>350</v>
      </c>
      <c r="C21" s="4" t="s">
        <v>28</v>
      </c>
      <c r="D21" s="4">
        <v>356</v>
      </c>
      <c r="E21" s="5">
        <v>6</v>
      </c>
      <c r="F21" s="4">
        <v>5</v>
      </c>
      <c r="G21" s="6">
        <v>5</v>
      </c>
      <c r="H21" s="4">
        <v>4</v>
      </c>
      <c r="I21" s="4"/>
    </row>
    <row r="22" spans="1:9" ht="18" customHeight="1" x14ac:dyDescent="0.25">
      <c r="A22" s="4">
        <v>19</v>
      </c>
      <c r="B22" s="4">
        <v>400</v>
      </c>
      <c r="C22" s="4" t="s">
        <v>28</v>
      </c>
      <c r="D22" s="4">
        <v>407</v>
      </c>
      <c r="E22" s="5">
        <v>6</v>
      </c>
      <c r="F22" s="4">
        <v>5</v>
      </c>
      <c r="G22" s="6">
        <v>5</v>
      </c>
      <c r="H22" s="4">
        <v>4</v>
      </c>
      <c r="I22" s="4"/>
    </row>
    <row r="23" spans="1:9" ht="18" customHeight="1" x14ac:dyDescent="0.25">
      <c r="A23" s="4">
        <v>20</v>
      </c>
      <c r="B23" s="4">
        <v>450</v>
      </c>
      <c r="C23" s="4" t="s">
        <v>28</v>
      </c>
      <c r="D23" s="4">
        <v>457</v>
      </c>
      <c r="E23" s="5">
        <v>6</v>
      </c>
      <c r="F23" s="4">
        <v>5</v>
      </c>
      <c r="G23" s="6">
        <v>5</v>
      </c>
      <c r="H23" s="4">
        <v>4</v>
      </c>
      <c r="I23" s="4"/>
    </row>
    <row r="24" spans="1:9" ht="18" customHeight="1" x14ac:dyDescent="0.25">
      <c r="A24" s="4">
        <v>21</v>
      </c>
      <c r="B24" s="4">
        <v>500</v>
      </c>
      <c r="C24" s="4" t="s">
        <v>28</v>
      </c>
      <c r="D24" s="4">
        <v>508</v>
      </c>
      <c r="E24" s="5">
        <v>6</v>
      </c>
      <c r="F24" s="4">
        <v>5</v>
      </c>
      <c r="G24" s="6">
        <v>5</v>
      </c>
      <c r="H24" s="4">
        <v>4</v>
      </c>
      <c r="I24" s="4"/>
    </row>
    <row r="25" spans="1:9" ht="18" customHeight="1" x14ac:dyDescent="0.25">
      <c r="A25" s="4">
        <v>22</v>
      </c>
      <c r="B25" s="4">
        <v>550</v>
      </c>
      <c r="C25" s="4" t="s">
        <v>28</v>
      </c>
      <c r="D25" s="4">
        <v>560</v>
      </c>
      <c r="E25" s="5">
        <v>6</v>
      </c>
      <c r="F25" s="4">
        <v>5</v>
      </c>
      <c r="G25" s="6">
        <v>5</v>
      </c>
      <c r="H25" s="4">
        <v>4</v>
      </c>
      <c r="I25" s="4" t="s">
        <v>27</v>
      </c>
    </row>
    <row r="26" spans="1:9" ht="18" customHeight="1" x14ac:dyDescent="0.25">
      <c r="A26" s="4">
        <v>23</v>
      </c>
      <c r="B26" s="4">
        <v>600</v>
      </c>
      <c r="C26" s="4" t="s">
        <v>28</v>
      </c>
      <c r="D26" s="4">
        <v>610</v>
      </c>
      <c r="E26" s="5">
        <v>6</v>
      </c>
      <c r="F26" s="4">
        <v>5</v>
      </c>
      <c r="G26" s="6">
        <v>5</v>
      </c>
      <c r="H26" s="4">
        <v>4</v>
      </c>
      <c r="I26" s="4"/>
    </row>
    <row r="27" spans="1:9" ht="18" customHeight="1" x14ac:dyDescent="0.25">
      <c r="A27" s="4">
        <v>24</v>
      </c>
      <c r="B27" s="4">
        <v>650</v>
      </c>
      <c r="C27" s="4" t="s">
        <v>28</v>
      </c>
      <c r="D27" s="4">
        <v>661</v>
      </c>
      <c r="E27" s="5">
        <v>6</v>
      </c>
      <c r="F27" s="4">
        <v>5</v>
      </c>
      <c r="G27" s="6">
        <v>5</v>
      </c>
      <c r="H27" s="4">
        <v>4</v>
      </c>
      <c r="I27" s="4" t="s">
        <v>27</v>
      </c>
    </row>
    <row r="28" spans="1:9" ht="18" customHeight="1" x14ac:dyDescent="0.25">
      <c r="A28" s="4">
        <v>25</v>
      </c>
      <c r="B28" s="4">
        <v>700</v>
      </c>
      <c r="C28" s="4" t="s">
        <v>28</v>
      </c>
      <c r="D28" s="4">
        <v>711</v>
      </c>
      <c r="E28" s="5">
        <v>6</v>
      </c>
      <c r="F28" s="4">
        <v>5</v>
      </c>
      <c r="G28" s="6">
        <v>5</v>
      </c>
      <c r="H28" s="4">
        <v>4</v>
      </c>
      <c r="I28" s="4"/>
    </row>
    <row r="29" spans="1:9" ht="18" customHeight="1" x14ac:dyDescent="0.25">
      <c r="A29" s="4">
        <v>26</v>
      </c>
      <c r="B29" s="4">
        <v>750</v>
      </c>
      <c r="C29" s="4" t="s">
        <v>28</v>
      </c>
      <c r="D29" s="4">
        <v>763</v>
      </c>
      <c r="E29" s="5">
        <v>6</v>
      </c>
      <c r="F29" s="4">
        <v>5</v>
      </c>
      <c r="G29" s="6">
        <v>5</v>
      </c>
      <c r="H29" s="4">
        <v>4</v>
      </c>
      <c r="I29" s="4" t="s">
        <v>27</v>
      </c>
    </row>
    <row r="30" spans="1:9" ht="18" customHeight="1" x14ac:dyDescent="0.25">
      <c r="A30" s="4">
        <v>27</v>
      </c>
      <c r="B30" s="4">
        <v>800</v>
      </c>
      <c r="C30" s="4" t="s">
        <v>28</v>
      </c>
      <c r="D30" s="4">
        <v>813</v>
      </c>
      <c r="E30" s="5">
        <v>6</v>
      </c>
      <c r="F30" s="4">
        <v>6</v>
      </c>
      <c r="G30" s="6">
        <v>6</v>
      </c>
      <c r="H30" s="4">
        <v>4</v>
      </c>
      <c r="I30" s="4"/>
    </row>
    <row r="31" spans="1:9" ht="18" customHeight="1" x14ac:dyDescent="0.25">
      <c r="A31" s="4">
        <v>28</v>
      </c>
      <c r="B31" s="4">
        <v>850</v>
      </c>
      <c r="C31" s="4" t="s">
        <v>28</v>
      </c>
      <c r="D31" s="4">
        <v>864</v>
      </c>
      <c r="E31" s="5">
        <v>6</v>
      </c>
      <c r="F31" s="4">
        <v>6</v>
      </c>
      <c r="G31" s="6">
        <v>6</v>
      </c>
      <c r="H31" s="4">
        <v>5</v>
      </c>
      <c r="I31" s="4" t="s">
        <v>27</v>
      </c>
    </row>
    <row r="32" spans="1:9" ht="18" customHeight="1" x14ac:dyDescent="0.25">
      <c r="A32" s="4">
        <v>29</v>
      </c>
      <c r="B32" s="4">
        <v>900</v>
      </c>
      <c r="C32" s="4" t="s">
        <v>28</v>
      </c>
      <c r="D32" s="4">
        <v>914</v>
      </c>
      <c r="E32" s="5">
        <v>6</v>
      </c>
      <c r="F32" s="4">
        <v>6</v>
      </c>
      <c r="G32" s="6">
        <v>6</v>
      </c>
      <c r="H32" s="4">
        <v>5</v>
      </c>
      <c r="I32" s="4"/>
    </row>
    <row r="33" spans="1:9" ht="18" customHeight="1" x14ac:dyDescent="0.25">
      <c r="A33" s="4">
        <v>30</v>
      </c>
      <c r="B33" s="4">
        <v>950</v>
      </c>
      <c r="C33" s="4" t="s">
        <v>28</v>
      </c>
      <c r="D33" s="4">
        <v>966</v>
      </c>
      <c r="E33" s="5">
        <v>6</v>
      </c>
      <c r="F33" s="4">
        <v>6</v>
      </c>
      <c r="G33" s="6">
        <v>6</v>
      </c>
      <c r="H33" s="4">
        <v>5</v>
      </c>
      <c r="I33" s="4" t="s">
        <v>27</v>
      </c>
    </row>
    <row r="34" spans="1:9" ht="18" customHeight="1" x14ac:dyDescent="0.25">
      <c r="A34" s="4">
        <v>31</v>
      </c>
      <c r="B34" s="4">
        <v>1000</v>
      </c>
      <c r="C34" s="4" t="s">
        <v>28</v>
      </c>
      <c r="D34" s="4">
        <v>1016</v>
      </c>
      <c r="E34" s="5">
        <v>6</v>
      </c>
      <c r="F34" s="4">
        <v>6</v>
      </c>
      <c r="G34" s="6">
        <v>6</v>
      </c>
      <c r="H34" s="4">
        <v>6</v>
      </c>
      <c r="I34" s="4"/>
    </row>
    <row r="35" spans="1:9" ht="18" customHeight="1" x14ac:dyDescent="0.25">
      <c r="A35" s="4">
        <v>32</v>
      </c>
      <c r="B35" s="4">
        <v>1050</v>
      </c>
      <c r="C35" s="4" t="s">
        <v>28</v>
      </c>
      <c r="D35" s="4">
        <v>1070</v>
      </c>
      <c r="E35" s="5">
        <v>6</v>
      </c>
      <c r="F35" s="4">
        <v>6</v>
      </c>
      <c r="G35" s="6">
        <v>6</v>
      </c>
      <c r="H35" s="4">
        <v>6</v>
      </c>
      <c r="I35" s="4" t="s">
        <v>27</v>
      </c>
    </row>
    <row r="36" spans="1:9" ht="18" customHeight="1" x14ac:dyDescent="0.25">
      <c r="A36" s="4">
        <v>33</v>
      </c>
      <c r="B36" s="4">
        <v>1100</v>
      </c>
      <c r="C36" s="4" t="s">
        <v>28</v>
      </c>
      <c r="D36" s="4">
        <v>1120</v>
      </c>
      <c r="E36" s="5">
        <v>6</v>
      </c>
      <c r="F36" s="4">
        <v>6</v>
      </c>
      <c r="G36" s="6">
        <v>6</v>
      </c>
      <c r="H36" s="4">
        <v>6</v>
      </c>
      <c r="I36" s="4" t="s">
        <v>27</v>
      </c>
    </row>
    <row r="37" spans="1:9" ht="18" customHeight="1" x14ac:dyDescent="0.25">
      <c r="A37" s="4">
        <v>34</v>
      </c>
      <c r="B37" s="4">
        <v>1150</v>
      </c>
      <c r="C37" s="4" t="s">
        <v>28</v>
      </c>
      <c r="D37" s="4">
        <v>1170</v>
      </c>
      <c r="E37" s="5">
        <v>6</v>
      </c>
      <c r="F37" s="4">
        <v>6</v>
      </c>
      <c r="G37" s="6">
        <v>6</v>
      </c>
      <c r="H37" s="4">
        <v>6</v>
      </c>
      <c r="I37" s="4" t="s">
        <v>27</v>
      </c>
    </row>
    <row r="38" spans="1:9" ht="18" customHeight="1" x14ac:dyDescent="0.25">
      <c r="A38" s="4">
        <v>35</v>
      </c>
      <c r="B38" s="4">
        <v>1200</v>
      </c>
      <c r="C38" s="4" t="s">
        <v>28</v>
      </c>
      <c r="D38" s="4">
        <v>1220</v>
      </c>
      <c r="E38" s="5">
        <v>6</v>
      </c>
      <c r="F38" s="4">
        <v>6</v>
      </c>
      <c r="G38" s="6">
        <v>6</v>
      </c>
      <c r="H38" s="4">
        <v>6</v>
      </c>
      <c r="I38" s="4"/>
    </row>
    <row r="39" spans="1:9" ht="18" customHeight="1" x14ac:dyDescent="0.25">
      <c r="A39" s="4">
        <v>36</v>
      </c>
      <c r="B39" s="4">
        <v>1250</v>
      </c>
      <c r="C39" s="4" t="s">
        <v>28</v>
      </c>
      <c r="D39" s="4">
        <v>1270</v>
      </c>
      <c r="E39" s="5">
        <v>6</v>
      </c>
      <c r="F39" s="4">
        <v>6</v>
      </c>
      <c r="G39" s="6">
        <v>6</v>
      </c>
      <c r="H39" s="4">
        <v>6</v>
      </c>
      <c r="I39" s="4" t="s">
        <v>27</v>
      </c>
    </row>
    <row r="40" spans="1:9" ht="18" customHeight="1" x14ac:dyDescent="0.25">
      <c r="A40" s="4">
        <v>37</v>
      </c>
      <c r="B40" s="4">
        <v>1300</v>
      </c>
      <c r="C40" s="4" t="s">
        <v>28</v>
      </c>
      <c r="D40" s="4">
        <v>1320</v>
      </c>
      <c r="E40" s="5">
        <v>6</v>
      </c>
      <c r="F40" s="4">
        <v>6</v>
      </c>
      <c r="G40" s="6">
        <v>6</v>
      </c>
      <c r="H40" s="4">
        <v>6</v>
      </c>
      <c r="I40" s="4" t="s">
        <v>27</v>
      </c>
    </row>
    <row r="41" spans="1:9" ht="18" customHeight="1" x14ac:dyDescent="0.25">
      <c r="A41" s="4">
        <v>38</v>
      </c>
      <c r="B41" s="4">
        <v>1350</v>
      </c>
      <c r="C41" s="4" t="s">
        <v>28</v>
      </c>
      <c r="D41" s="4">
        <v>1370</v>
      </c>
      <c r="E41" s="5">
        <v>6</v>
      </c>
      <c r="F41" s="4">
        <v>6</v>
      </c>
      <c r="G41" s="6">
        <v>6</v>
      </c>
      <c r="H41" s="4">
        <v>6</v>
      </c>
      <c r="I41" s="4" t="s">
        <v>27</v>
      </c>
    </row>
    <row r="42" spans="1:9" ht="18" customHeight="1" x14ac:dyDescent="0.25">
      <c r="A42" s="4">
        <v>39</v>
      </c>
      <c r="B42" s="4">
        <v>1400</v>
      </c>
      <c r="C42" s="4" t="s">
        <v>28</v>
      </c>
      <c r="D42" s="4">
        <v>1420</v>
      </c>
      <c r="E42" s="5">
        <v>6</v>
      </c>
      <c r="F42" s="4">
        <v>6</v>
      </c>
      <c r="G42" s="6">
        <v>6</v>
      </c>
      <c r="H42" s="4">
        <v>6</v>
      </c>
      <c r="I42" s="4"/>
    </row>
    <row r="43" spans="1:9" ht="18" customHeight="1" x14ac:dyDescent="0.25">
      <c r="A43" s="4">
        <v>40</v>
      </c>
      <c r="B43" s="4">
        <v>1450</v>
      </c>
      <c r="C43" s="4" t="s">
        <v>28</v>
      </c>
      <c r="D43" s="4">
        <v>1470</v>
      </c>
      <c r="E43" s="5">
        <v>6</v>
      </c>
      <c r="F43" s="4">
        <v>6</v>
      </c>
      <c r="G43" s="6">
        <v>6</v>
      </c>
      <c r="H43" s="4">
        <v>6</v>
      </c>
      <c r="I43" s="4" t="s">
        <v>27</v>
      </c>
    </row>
    <row r="44" spans="1:9" ht="18" customHeight="1" x14ac:dyDescent="0.25">
      <c r="A44" s="4">
        <v>41</v>
      </c>
      <c r="B44" s="4">
        <v>1500</v>
      </c>
      <c r="C44" s="4" t="s">
        <v>28</v>
      </c>
      <c r="D44" s="4">
        <v>1520</v>
      </c>
      <c r="E44" s="5">
        <v>6</v>
      </c>
      <c r="F44" s="4">
        <v>6</v>
      </c>
      <c r="G44" s="6">
        <v>6</v>
      </c>
      <c r="H44" s="4">
        <v>6</v>
      </c>
      <c r="I44" s="4" t="s">
        <v>27</v>
      </c>
    </row>
    <row r="45" spans="1:9" ht="18" customHeight="1" x14ac:dyDescent="0.25">
      <c r="A45" s="4">
        <v>42</v>
      </c>
      <c r="B45" s="4">
        <v>1550</v>
      </c>
      <c r="C45" s="4" t="s">
        <v>28</v>
      </c>
      <c r="D45" s="4">
        <v>1570</v>
      </c>
      <c r="E45" s="5">
        <v>6</v>
      </c>
      <c r="F45" s="4">
        <v>6</v>
      </c>
      <c r="G45" s="6">
        <v>6</v>
      </c>
      <c r="H45" s="4">
        <v>6</v>
      </c>
      <c r="I45" s="4" t="s">
        <v>27</v>
      </c>
    </row>
    <row r="46" spans="1:9" ht="18" customHeight="1" x14ac:dyDescent="0.25">
      <c r="A46" s="4">
        <v>43</v>
      </c>
      <c r="B46" s="4">
        <v>1600</v>
      </c>
      <c r="C46" s="4" t="s">
        <v>28</v>
      </c>
      <c r="D46" s="4">
        <v>1620</v>
      </c>
      <c r="E46" s="5">
        <v>6</v>
      </c>
      <c r="F46" s="4">
        <v>6</v>
      </c>
      <c r="G46" s="6">
        <v>6</v>
      </c>
      <c r="H46" s="4">
        <v>6</v>
      </c>
      <c r="I46" s="4"/>
    </row>
    <row r="47" spans="1:9" ht="18" customHeight="1" x14ac:dyDescent="0.25">
      <c r="A47" s="4">
        <v>44</v>
      </c>
      <c r="B47" s="4">
        <v>1650</v>
      </c>
      <c r="C47" s="4" t="s">
        <v>28</v>
      </c>
      <c r="D47" s="4">
        <v>1670</v>
      </c>
      <c r="E47" s="5">
        <v>6</v>
      </c>
      <c r="F47" s="4">
        <v>6</v>
      </c>
      <c r="G47" s="6">
        <v>6</v>
      </c>
      <c r="H47" s="4">
        <v>6</v>
      </c>
      <c r="I47" s="4" t="s">
        <v>27</v>
      </c>
    </row>
    <row r="48" spans="1:9" ht="18" customHeight="1" x14ac:dyDescent="0.25">
      <c r="A48" s="4">
        <v>45</v>
      </c>
      <c r="B48" s="4">
        <v>1700</v>
      </c>
      <c r="C48" s="4" t="s">
        <v>28</v>
      </c>
      <c r="D48" s="4">
        <v>1720</v>
      </c>
      <c r="E48" s="5">
        <v>6</v>
      </c>
      <c r="F48" s="4">
        <v>6</v>
      </c>
      <c r="G48" s="6">
        <v>6</v>
      </c>
      <c r="H48" s="4">
        <v>6</v>
      </c>
      <c r="I48" s="4" t="s">
        <v>27</v>
      </c>
    </row>
    <row r="49" spans="1:9" ht="18" customHeight="1" x14ac:dyDescent="0.25">
      <c r="A49" s="4">
        <v>46</v>
      </c>
      <c r="B49" s="4">
        <v>1750</v>
      </c>
      <c r="C49" s="4" t="s">
        <v>28</v>
      </c>
      <c r="D49" s="4">
        <v>1770</v>
      </c>
      <c r="E49" s="5">
        <v>6</v>
      </c>
      <c r="F49" s="4">
        <v>6</v>
      </c>
      <c r="G49" s="6">
        <v>6</v>
      </c>
      <c r="H49" s="4">
        <v>6</v>
      </c>
      <c r="I49" s="4" t="s">
        <v>27</v>
      </c>
    </row>
    <row r="50" spans="1:9" ht="18" customHeight="1" x14ac:dyDescent="0.25">
      <c r="A50" s="4">
        <v>47</v>
      </c>
      <c r="B50" s="4">
        <v>1800</v>
      </c>
      <c r="C50" s="4" t="s">
        <v>28</v>
      </c>
      <c r="D50" s="4">
        <v>1820</v>
      </c>
      <c r="E50" s="5">
        <v>6</v>
      </c>
      <c r="F50" s="4">
        <v>6</v>
      </c>
      <c r="G50" s="6">
        <v>6</v>
      </c>
      <c r="H50" s="4">
        <v>6</v>
      </c>
      <c r="I50" s="4"/>
    </row>
    <row r="51" spans="1:9" ht="18" customHeight="1" x14ac:dyDescent="0.25">
      <c r="A51" s="4">
        <v>48</v>
      </c>
      <c r="B51" s="4">
        <v>1850</v>
      </c>
      <c r="C51" s="4" t="s">
        <v>28</v>
      </c>
      <c r="D51" s="4">
        <v>1870</v>
      </c>
      <c r="E51" s="5">
        <v>6</v>
      </c>
      <c r="F51" s="4">
        <v>6</v>
      </c>
      <c r="G51" s="6">
        <v>6</v>
      </c>
      <c r="H51" s="4">
        <v>6</v>
      </c>
      <c r="I51" s="4" t="s">
        <v>27</v>
      </c>
    </row>
    <row r="52" spans="1:9" ht="18" customHeight="1" x14ac:dyDescent="0.25">
      <c r="A52" s="4">
        <v>49</v>
      </c>
      <c r="B52" s="4">
        <v>1900</v>
      </c>
      <c r="C52" s="4" t="s">
        <v>28</v>
      </c>
      <c r="D52" s="4">
        <v>1920</v>
      </c>
      <c r="E52" s="5">
        <v>6</v>
      </c>
      <c r="F52" s="4">
        <v>6</v>
      </c>
      <c r="G52" s="6">
        <v>6</v>
      </c>
      <c r="H52" s="4">
        <v>6</v>
      </c>
      <c r="I52" s="4" t="s">
        <v>27</v>
      </c>
    </row>
    <row r="53" spans="1:9" ht="18" customHeight="1" x14ac:dyDescent="0.25">
      <c r="A53" s="4">
        <v>50</v>
      </c>
      <c r="B53" s="4">
        <v>1950</v>
      </c>
      <c r="C53" s="4" t="s">
        <v>28</v>
      </c>
      <c r="D53" s="4">
        <v>1970</v>
      </c>
      <c r="E53" s="5">
        <v>6</v>
      </c>
      <c r="F53" s="4">
        <v>6</v>
      </c>
      <c r="G53" s="6">
        <v>6</v>
      </c>
      <c r="H53" s="4">
        <v>6</v>
      </c>
      <c r="I53" s="4" t="s">
        <v>27</v>
      </c>
    </row>
    <row r="54" spans="1:9" ht="18" customHeight="1" x14ac:dyDescent="0.25">
      <c r="A54" s="4">
        <v>51</v>
      </c>
      <c r="B54" s="4">
        <v>2000</v>
      </c>
      <c r="C54" s="4" t="s">
        <v>28</v>
      </c>
      <c r="D54" s="4">
        <v>2020</v>
      </c>
      <c r="E54" s="5">
        <v>8</v>
      </c>
      <c r="F54" s="4">
        <v>8</v>
      </c>
      <c r="G54" s="6">
        <v>8</v>
      </c>
      <c r="H54" s="4">
        <v>8</v>
      </c>
      <c r="I54" s="4"/>
    </row>
    <row r="55" spans="1:9" ht="18" customHeight="1" x14ac:dyDescent="0.25">
      <c r="A55" s="4">
        <v>52</v>
      </c>
      <c r="B55" s="9">
        <v>2100</v>
      </c>
      <c r="C55" s="4" t="s">
        <v>28</v>
      </c>
      <c r="D55" s="9">
        <v>2120</v>
      </c>
      <c r="E55" s="5">
        <v>8</v>
      </c>
      <c r="F55" s="4">
        <v>8</v>
      </c>
      <c r="G55" s="6">
        <v>8</v>
      </c>
      <c r="H55" s="4">
        <v>8</v>
      </c>
      <c r="I55" s="4"/>
    </row>
    <row r="56" spans="1:9" ht="18" customHeight="1" x14ac:dyDescent="0.25">
      <c r="A56" s="4">
        <v>53</v>
      </c>
      <c r="B56" s="4">
        <v>2200</v>
      </c>
      <c r="C56" s="4" t="s">
        <v>28</v>
      </c>
      <c r="D56" s="4">
        <v>2220</v>
      </c>
      <c r="E56" s="5">
        <v>8</v>
      </c>
      <c r="F56" s="4">
        <v>8</v>
      </c>
      <c r="G56" s="6">
        <v>8</v>
      </c>
      <c r="H56" s="4">
        <v>8</v>
      </c>
      <c r="I56" s="4"/>
    </row>
    <row r="57" spans="1:9" ht="18" customHeight="1" x14ac:dyDescent="0.25">
      <c r="A57" s="4">
        <v>54</v>
      </c>
      <c r="B57" s="9">
        <v>2300</v>
      </c>
      <c r="C57" s="4" t="s">
        <v>28</v>
      </c>
      <c r="D57" s="9">
        <v>2320</v>
      </c>
      <c r="E57" s="5">
        <v>8</v>
      </c>
      <c r="F57" s="4">
        <v>8</v>
      </c>
      <c r="G57" s="6">
        <v>8</v>
      </c>
      <c r="H57" s="4">
        <v>8</v>
      </c>
      <c r="I57" s="4"/>
    </row>
    <row r="58" spans="1:9" ht="18" customHeight="1" x14ac:dyDescent="0.25">
      <c r="A58" s="4">
        <v>55</v>
      </c>
      <c r="B58" s="4">
        <v>2400</v>
      </c>
      <c r="C58" s="4" t="s">
        <v>28</v>
      </c>
      <c r="D58" s="4">
        <v>2420</v>
      </c>
      <c r="E58" s="5">
        <v>8</v>
      </c>
      <c r="F58" s="4">
        <v>8</v>
      </c>
      <c r="G58" s="6">
        <v>8</v>
      </c>
      <c r="H58" s="4">
        <v>8</v>
      </c>
      <c r="I58" s="4"/>
    </row>
    <row r="59" spans="1:9" ht="18" customHeight="1" x14ac:dyDescent="0.25">
      <c r="A59" s="4">
        <v>56</v>
      </c>
      <c r="B59" s="9">
        <v>2500</v>
      </c>
      <c r="C59" s="4" t="s">
        <v>28</v>
      </c>
      <c r="D59" s="9">
        <v>2520</v>
      </c>
      <c r="E59" s="5">
        <v>8</v>
      </c>
      <c r="F59" s="4">
        <v>8</v>
      </c>
      <c r="G59" s="6">
        <v>8</v>
      </c>
      <c r="H59" s="4">
        <v>8</v>
      </c>
      <c r="I59" s="4"/>
    </row>
    <row r="60" spans="1:9" ht="18" customHeight="1" x14ac:dyDescent="0.25">
      <c r="A60" s="4">
        <v>57</v>
      </c>
      <c r="B60" s="4">
        <v>2600</v>
      </c>
      <c r="C60" s="4" t="s">
        <v>28</v>
      </c>
      <c r="D60" s="4">
        <v>2620</v>
      </c>
      <c r="E60" s="5">
        <v>8</v>
      </c>
      <c r="F60" s="4">
        <v>8</v>
      </c>
      <c r="G60" s="6">
        <v>8</v>
      </c>
      <c r="H60" s="4">
        <v>8</v>
      </c>
      <c r="I60" s="4"/>
    </row>
    <row r="61" spans="1:9" ht="48.75" customHeight="1" x14ac:dyDescent="0.25">
      <c r="A61" s="14" t="s">
        <v>29</v>
      </c>
      <c r="B61" s="15"/>
      <c r="C61" s="15"/>
      <c r="D61" s="15"/>
      <c r="E61" s="15"/>
      <c r="F61" s="15"/>
      <c r="G61" s="15"/>
      <c r="H61" s="15"/>
      <c r="I61" s="16"/>
    </row>
  </sheetData>
  <mergeCells count="12">
    <mergeCell ref="L14:M14"/>
    <mergeCell ref="L15:M15"/>
    <mergeCell ref="A61:I61"/>
    <mergeCell ref="A1:I1"/>
    <mergeCell ref="A2:A3"/>
    <mergeCell ref="C2:C3"/>
    <mergeCell ref="D2:D3"/>
    <mergeCell ref="E2:E3"/>
    <mergeCell ref="F2:F3"/>
    <mergeCell ref="G2:G3"/>
    <mergeCell ref="H2:H3"/>
    <mergeCell ref="I2:I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炉子</vt:lpstr>
      <vt:lpstr>空、煤气管道规格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2024-05-08T13:40:37Z</dcterms:created>
  <dcterms:modified xsi:type="dcterms:W3CDTF">2026-03-19T02:15:25Z</dcterms:modified>
</cp:coreProperties>
</file>